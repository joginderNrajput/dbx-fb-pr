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comments/comment1.xml" ContentType="application/vnd.openxmlformats-officedocument.spreadsheetml.comments+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overy" sheetId="1" state="visible" r:id="rId1"/>
    <sheet name="Apps" sheetId="2" state="visible" r:id="rId2"/>
    <sheet name="Sheets" sheetId="3" state="visible" r:id="rId3"/>
    <sheet name="Visualizations" sheetId="4" state="visible" r:id="rId4"/>
    <sheet name="MasterMeasures" sheetId="5" state="visible" r:id="rId5"/>
    <sheet name="MasterDimensions" sheetId="6" state="visible" r:id="rId6"/>
    <sheet name="MasterVisualizations" sheetId="7" state="visible" r:id="rId7"/>
    <sheet name="MasterItemUsage" sheetId="8" state="visible" r:id="rId8"/>
    <sheet name="Variables" sheetId="9" state="visible" r:id="rId9"/>
    <sheet name="Bookmarks" sheetId="10" state="visible" r:id="rId10"/>
    <sheet name="Stories" sheetId="11" state="visible" r:id="rId11"/>
    <sheet name="LoadScript" sheetId="12" state="visible" r:id="rId12"/>
    <sheet name="DataSources" sheetId="13" state="visible" r:id="rId13"/>
    <sheet name="DataTables" sheetId="14" state="visible" r:id="rId14"/>
    <sheet name="Fields" sheetId="15" state="visible" r:id="rId15"/>
    <sheet name="LegacyObjects" sheetId="16" state="visible" r:id="rId16"/>
    <sheet name="ExpressionFunctions" sheetId="17" state="visible" r:id="rId17"/>
    <sheet name="Media" sheetId="18" state="visible" r:id="rId18"/>
    <sheet name="StoredObjects" sheetId="19" state="visible" r:id="rId19"/>
    <sheet name="Warnings" sheetId="20" state="visible" r:id="rId20"/>
    <sheet name="Information" sheetId="21" state="visible" r:id="rId21"/>
    <sheet name="Totals" sheetId="22" state="visible" r:id="rId22"/>
    <sheet name="ChartVisTypes" sheetId="23" state="hidden" r:id="rId23"/>
    <sheet name="ChartAppComplexity" sheetId="24" state="hidden" r:id="rId24"/>
    <sheet name="ChartTopApps" sheetId="25" state="hidden" r:id="rId25"/>
  </sheets>
  <definedNames>
    <definedName name="_xlnm.Print_Titles" localSheetId="0">'Discovery'!$6:$6</definedName>
    <definedName name="_xlnm._FilterDatabase" localSheetId="1" hidden="1">'Apps'!$A$6:$AE$14</definedName>
    <definedName name="_xlnm.Print_Titles" localSheetId="1">'Apps'!$6:$6</definedName>
    <definedName name="_xlnm._FilterDatabase" localSheetId="2" hidden="1">'Sheets'!$A$6:$H$19</definedName>
    <definedName name="_xlnm.Print_Titles" localSheetId="2">'Sheets'!$6:$6</definedName>
    <definedName name="_xlnm._FilterDatabase" localSheetId="3" hidden="1">'Visualizations'!$A$6:$N$73</definedName>
    <definedName name="_xlnm.Print_Titles" localSheetId="3">'Visualizations'!$6:$6</definedName>
    <definedName name="_xlnm._FilterDatabase" localSheetId="4" hidden="1">'MasterMeasures'!$A$6:$N$61</definedName>
    <definedName name="_xlnm.Print_Titles" localSheetId="4">'MasterMeasures'!$6:$6</definedName>
    <definedName name="_xlnm._FilterDatabase" localSheetId="5" hidden="1">'MasterDimensions'!$A$6:$I$35</definedName>
    <definedName name="_xlnm.Print_Titles" localSheetId="5">'MasterDimensions'!$6:$6</definedName>
    <definedName name="_xlnm._FilterDatabase" localSheetId="6" hidden="1">'MasterVisualizations'!$A$6:$H$17</definedName>
    <definedName name="_xlnm.Print_Titles" localSheetId="6">'MasterVisualizations'!$6:$6</definedName>
    <definedName name="_xlnm._FilterDatabase" localSheetId="7" hidden="1">'MasterItemUsage'!$A$6:$G$111</definedName>
    <definedName name="_xlnm.Print_Titles" localSheetId="7">'MasterItemUsage'!$6:$6</definedName>
    <definedName name="_xlnm._FilterDatabase" localSheetId="8" hidden="1">'Variables'!$A$6:$J$207</definedName>
    <definedName name="_xlnm.Print_Titles" localSheetId="8">'Variables'!$6:$6</definedName>
    <definedName name="_xlnm._FilterDatabase" localSheetId="9" hidden="1">'Bookmarks'!$A$6:$F$106</definedName>
    <definedName name="_xlnm.Print_Titles" localSheetId="9">'Bookmarks'!$6:$6</definedName>
    <definedName name="_xlnm._FilterDatabase" localSheetId="10" hidden="1">'Stories'!$A$6:$F$9</definedName>
    <definedName name="_xlnm.Print_Titles" localSheetId="10">'Stories'!$6:$6</definedName>
    <definedName name="_xlnm._FilterDatabase" localSheetId="11" hidden="1">'LoadScript'!$A$6:$Q$30</definedName>
    <definedName name="_xlnm.Print_Titles" localSheetId="11">'LoadScript'!$6:$6</definedName>
    <definedName name="_xlnm._FilterDatabase" localSheetId="12" hidden="1">'DataSources'!$A$6:$G$47</definedName>
    <definedName name="_xlnm.Print_Titles" localSheetId="12">'DataSources'!$6:$6</definedName>
    <definedName name="_xlnm._FilterDatabase" localSheetId="13" hidden="1">'DataTables'!$A$6:$F$50</definedName>
    <definedName name="_xlnm.Print_Titles" localSheetId="13">'DataTables'!$6:$6</definedName>
    <definedName name="_xlnm._FilterDatabase" localSheetId="14" hidden="1">'Fields'!$A$6:$G$229</definedName>
    <definedName name="_xlnm.Print_Titles" localSheetId="14">'Fields'!$6:$6</definedName>
    <definedName name="_xlnm._FilterDatabase" localSheetId="15" hidden="1">'LegacyObjects'!$A$6:$F$10</definedName>
    <definedName name="_xlnm.Print_Titles" localSheetId="15">'LegacyObjects'!$6:$6</definedName>
    <definedName name="_xlnm._FilterDatabase" localSheetId="16" hidden="1">'ExpressionFunctions'!$A$6:$E$34</definedName>
    <definedName name="_xlnm.Print_Titles" localSheetId="16">'ExpressionFunctions'!$6:$6</definedName>
    <definedName name="_xlnm._FilterDatabase" localSheetId="17" hidden="1">'Media'!$A$6:$E$16</definedName>
    <definedName name="_xlnm.Print_Titles" localSheetId="17">'Media'!$6:$6</definedName>
    <definedName name="_xlnm._FilterDatabase" localSheetId="18" hidden="1">'StoredObjects'!$A$6:$F$653</definedName>
    <definedName name="_xlnm.Print_Titles" localSheetId="18">'StoredObjects'!$6:$6</definedName>
    <definedName name="_xlnm._FilterDatabase" localSheetId="19" hidden="1">'Warnings'!$A$6:$C$7</definedName>
    <definedName name="_xlnm.Print_Titles" localSheetId="19">'Warnings'!$6:$6</definedName>
    <definedName name="_xlnm.Print_Titles" localSheetId="20">'Information'!$6:$6</definedName>
    <definedName name="_xlnm.Print_Titles" localSheetId="21">'Totals'!$6:$6</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Aptos Display"/>
      <b val="1"/>
      <color rgb="00FFFFFF"/>
      <sz val="15"/>
    </font>
    <font>
      <name val="Calibri"/>
      <b val="1"/>
      <color rgb="00009845"/>
      <sz val="9"/>
    </font>
    <font>
      <name val="Calibri"/>
      <i val="1"/>
      <color rgb="0054565A"/>
      <sz val="9"/>
    </font>
    <font>
      <name val="Aptos Display"/>
      <b val="1"/>
      <color rgb="00FFFFFF"/>
      <sz val="9"/>
    </font>
    <font>
      <name val="Calibri"/>
      <color rgb="001B3139"/>
      <sz val="10"/>
    </font>
    <font>
      <name val="Aptos Display"/>
      <b val="1"/>
      <color rgb="00009845"/>
      <sz val="12"/>
    </font>
    <font>
      <name val="Calibri"/>
      <b val="1"/>
      <color rgb="00009845"/>
      <sz val="10"/>
      <u val="single"/>
    </font>
    <font>
      <name val="Calibri"/>
      <b val="1"/>
      <color rgb="001B3139"/>
      <sz val="10"/>
    </font>
    <font>
      <name val="Calibri"/>
      <sz val="10"/>
    </font>
    <font>
      <name val="Calibri"/>
      <color rgb="00008000"/>
      <sz val="10"/>
    </font>
    <font>
      <name val="Calibri"/>
      <b val="1"/>
      <color rgb="000000FF"/>
      <sz val="10"/>
    </font>
    <font>
      <name val="Aptos Display"/>
      <b val="1"/>
      <color rgb="00FFFFFF"/>
      <sz val="11"/>
    </font>
    <font>
      <name val="Calibri"/>
      <b val="1"/>
      <color rgb="001B3139"/>
      <sz val="9"/>
    </font>
    <font>
      <name val="Calibri"/>
      <b val="1"/>
      <color rgb="002C4650"/>
      <sz val="8"/>
    </font>
    <font>
      <name val="Calibri"/>
      <b val="1"/>
      <color rgb="00FFFFFF"/>
      <sz val="9"/>
    </font>
    <font>
      <name val="Aptos Display"/>
      <b val="1"/>
      <color rgb="001B3139"/>
      <sz val="24"/>
    </font>
    <font>
      <name val="Aptos Display"/>
      <b val="1"/>
      <color rgb="00C0392B"/>
      <sz val="24"/>
    </font>
    <font>
      <name val="Calibri"/>
      <color rgb="001B3139"/>
      <sz val="9"/>
    </font>
    <font>
      <name val="Calibri"/>
      <b val="1"/>
      <color rgb="00C0392B"/>
      <sz val="9"/>
    </font>
    <font>
      <name val="Aptos Display"/>
      <b val="1"/>
      <color rgb="00009845"/>
      <sz val="10"/>
    </font>
  </fonts>
  <fills count="8">
    <fill>
      <patternFill/>
    </fill>
    <fill>
      <patternFill patternType="gray125"/>
    </fill>
    <fill>
      <patternFill patternType="solid">
        <fgColor rgb="001B3139"/>
        <bgColor rgb="001B3139"/>
      </patternFill>
    </fill>
    <fill>
      <patternFill patternType="solid">
        <fgColor rgb="00F9F7F4"/>
        <bgColor rgb="00F9F7F4"/>
      </patternFill>
    </fill>
    <fill>
      <patternFill patternType="solid">
        <fgColor rgb="00FFF9DB"/>
        <bgColor rgb="00FFF9DB"/>
      </patternFill>
    </fill>
    <fill>
      <patternFill patternType="solid">
        <fgColor rgb="00E8F5F0"/>
        <bgColor rgb="00E8F5F0"/>
      </patternFill>
    </fill>
    <fill>
      <patternFill patternType="solid">
        <fgColor rgb="00FDECEA"/>
        <bgColor rgb="00FDECEA"/>
      </patternFill>
    </fill>
    <fill>
      <patternFill patternType="solid">
        <fgColor rgb="00FFFFFF"/>
        <bgColor rgb="00FFFFFF"/>
      </patternFill>
    </fill>
  </fills>
  <borders count="5">
    <border>
      <left/>
      <right/>
      <top/>
      <bottom/>
      <diagonal/>
    </border>
    <border>
      <bottom style="medium">
        <color rgb="00009845"/>
      </bottom>
    </border>
    <border>
      <bottom style="hair">
        <color rgb="00E3E6E8"/>
      </bottom>
    </border>
    <border>
      <top style="thin">
        <color rgb="00FFFFFF"/>
      </top>
      <bottom style="thin">
        <color rgb="00FFFFFF"/>
      </bottom>
    </border>
    <border>
      <bottom style="medium">
        <color rgb="00C0392B"/>
      </bottom>
    </border>
  </borders>
  <cellStyleXfs count="1">
    <xf numFmtId="0" fontId="0" fillId="0" borderId="0"/>
  </cellStyleXfs>
  <cellXfs count="71">
    <xf numFmtId="0" fontId="0" fillId="0" borderId="0" pivotButton="0" quotePrefix="0" xfId="0"/>
    <xf numFmtId="0" fontId="1" fillId="0" borderId="0" applyAlignment="1" pivotButton="0" quotePrefix="0" xfId="0">
      <alignment horizontal="left" vertical="center"/>
    </xf>
    <xf numFmtId="0" fontId="13" fillId="0" borderId="0" applyAlignment="1" pivotButton="0" quotePrefix="0" xfId="0">
      <alignment vertical="center"/>
    </xf>
    <xf numFmtId="0" fontId="14" fillId="0" borderId="0" applyAlignment="1" pivotButton="0" quotePrefix="0" xfId="0">
      <alignment horizontal="center" vertical="center"/>
    </xf>
    <xf numFmtId="3" fontId="16" fillId="5" borderId="0" applyAlignment="1" pivotButton="0" quotePrefix="0" xfId="0">
      <alignment horizontal="center" vertical="bottom"/>
    </xf>
    <xf numFmtId="0" fontId="0" fillId="5" borderId="0" pivotButton="0" quotePrefix="0" xfId="0"/>
    <xf numFmtId="0" fontId="4" fillId="2" borderId="0" applyAlignment="1" pivotButton="0" quotePrefix="0" xfId="0">
      <alignment horizontal="center" vertical="center"/>
    </xf>
    <xf numFmtId="0" fontId="0" fillId="2" borderId="0" pivotButton="0" quotePrefix="0" xfId="0"/>
    <xf numFmtId="0" fontId="15" fillId="2" borderId="3" applyAlignment="1" pivotButton="0" quotePrefix="0" xfId="0">
      <alignment horizontal="center" vertical="center"/>
    </xf>
    <xf numFmtId="0" fontId="0" fillId="2" borderId="3" pivotButton="0" quotePrefix="0" xfId="0"/>
    <xf numFmtId="0" fontId="18" fillId="3" borderId="0" applyAlignment="1" pivotButton="0" quotePrefix="0" xfId="0">
      <alignment horizontal="left" vertical="center" indent="1"/>
    </xf>
    <xf numFmtId="0" fontId="0" fillId="3" borderId="0" pivotButton="0" quotePrefix="0" xfId="0"/>
    <xf numFmtId="0" fontId="13" fillId="3" borderId="0" applyAlignment="1" pivotButton="0" quotePrefix="0" xfId="0">
      <alignment horizontal="right" vertical="center" indent="1"/>
    </xf>
    <xf numFmtId="0" fontId="13" fillId="3" borderId="3" applyAlignment="1" pivotButton="0" quotePrefix="0" xfId="0">
      <alignment horizontal="center" vertical="center"/>
    </xf>
    <xf numFmtId="0" fontId="0" fillId="3" borderId="3" pivotButton="0" quotePrefix="0" xfId="0"/>
    <xf numFmtId="0" fontId="14" fillId="5" borderId="0" applyAlignment="1" pivotButton="0" quotePrefix="0" xfId="0">
      <alignment horizontal="center" vertical="top" wrapText="1"/>
    </xf>
    <xf numFmtId="0" fontId="18" fillId="7" borderId="0" applyAlignment="1" pivotButton="0" quotePrefix="0" xfId="0">
      <alignment horizontal="left" vertical="center" indent="1"/>
    </xf>
    <xf numFmtId="0" fontId="0" fillId="7" borderId="0" pivotButton="0" quotePrefix="0" xfId="0"/>
    <xf numFmtId="0" fontId="13" fillId="7" borderId="0" applyAlignment="1" pivotButton="0" quotePrefix="0" xfId="0">
      <alignment horizontal="right" vertical="center" indent="1"/>
    </xf>
    <xf numFmtId="0" fontId="0" fillId="5" borderId="1" pivotButton="0" quotePrefix="0" xfId="0"/>
    <xf numFmtId="3" fontId="13" fillId="7" borderId="0" applyAlignment="1" pivotButton="0" quotePrefix="0" xfId="0">
      <alignment horizontal="right" vertical="center" indent="1"/>
    </xf>
    <xf numFmtId="3" fontId="13" fillId="3" borderId="0" applyAlignment="1" pivotButton="0" quotePrefix="0" xfId="0">
      <alignment horizontal="right" vertical="center" indent="1"/>
    </xf>
    <xf numFmtId="3" fontId="19" fillId="7" borderId="0" applyAlignment="1" pivotButton="0" quotePrefix="0" xfId="0">
      <alignment horizontal="right" vertical="center" indent="1"/>
    </xf>
    <xf numFmtId="4" fontId="13" fillId="3" borderId="0" applyAlignment="1" pivotButton="0" quotePrefix="0" xfId="0">
      <alignment horizontal="right" vertical="center" indent="1"/>
    </xf>
    <xf numFmtId="3" fontId="17" fillId="6" borderId="0" applyAlignment="1" pivotButton="0" quotePrefix="0" xfId="0">
      <alignment horizontal="center" vertical="bottom"/>
    </xf>
    <xf numFmtId="0" fontId="0" fillId="6" borderId="0" pivotButton="0" quotePrefix="0" xfId="0"/>
    <xf numFmtId="0" fontId="14" fillId="6" borderId="0" applyAlignment="1" pivotButton="0" quotePrefix="0" xfId="0">
      <alignment horizontal="center" vertical="top" wrapText="1"/>
    </xf>
    <xf numFmtId="0" fontId="0" fillId="6" borderId="4" pivotButton="0" quotePrefix="0" xfId="0"/>
    <xf numFmtId="0" fontId="2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wrapText="1"/>
    </xf>
    <xf numFmtId="0" fontId="5" fillId="0" borderId="2" applyAlignment="1" pivotButton="0" quotePrefix="0" xfId="0">
      <alignment horizontal="left" vertical="top"/>
    </xf>
    <xf numFmtId="4" fontId="5" fillId="0" borderId="2" applyAlignment="1" pivotButton="0" quotePrefix="0" xfId="0">
      <alignment horizontal="right" vertical="top" indent="1"/>
    </xf>
    <xf numFmtId="3" fontId="5" fillId="0" borderId="2" applyAlignment="1" pivotButton="0" quotePrefix="0" xfId="0">
      <alignment horizontal="right" vertical="top" indent="1"/>
    </xf>
    <xf numFmtId="3" fontId="8" fillId="0" borderId="2" applyAlignment="1" pivotButton="0" quotePrefix="0" xfId="0">
      <alignment horizontal="right" indent="1"/>
    </xf>
    <xf numFmtId="0" fontId="8" fillId="0" borderId="2" applyAlignment="1" pivotButton="0" quotePrefix="0" xfId="0">
      <alignment horizontal="center"/>
    </xf>
    <xf numFmtId="0" fontId="5" fillId="3" borderId="2" applyAlignment="1" pivotButton="0" quotePrefix="0" xfId="0">
      <alignment horizontal="left" vertical="top"/>
    </xf>
    <xf numFmtId="4" fontId="5" fillId="3" borderId="2" applyAlignment="1" pivotButton="0" quotePrefix="0" xfId="0">
      <alignment horizontal="right" vertical="top" indent="1"/>
    </xf>
    <xf numFmtId="3" fontId="5" fillId="3" borderId="2" applyAlignment="1" pivotButton="0" quotePrefix="0" xfId="0">
      <alignment horizontal="right" vertical="top" indent="1"/>
    </xf>
    <xf numFmtId="3" fontId="8" fillId="3" borderId="2" applyAlignment="1" pivotButton="0" quotePrefix="0" xfId="0">
      <alignment horizontal="right" indent="1"/>
    </xf>
    <xf numFmtId="0" fontId="8" fillId="3" borderId="2" applyAlignment="1" pivotButton="0" quotePrefix="0" xfId="0">
      <alignment horizontal="center"/>
    </xf>
    <xf numFmtId="0" fontId="5" fillId="0" borderId="2" applyAlignment="1" pivotButton="0" quotePrefix="0" xfId="0">
      <alignment horizontal="left" vertical="top" wrapText="1"/>
    </xf>
    <xf numFmtId="0" fontId="5" fillId="3" borderId="2" applyAlignment="1" pivotButton="0" quotePrefix="0" xfId="0">
      <alignment horizontal="left" vertical="top" wrapText="1"/>
    </xf>
    <xf numFmtId="0" fontId="6" fillId="0" borderId="0" pivotButton="0" quotePrefix="0" xfId="0"/>
    <xf numFmtId="0" fontId="5" fillId="0" borderId="0" applyAlignment="1" pivotButton="0" quotePrefix="0" xfId="0">
      <alignment vertical="top" wrapText="1"/>
    </xf>
    <xf numFmtId="0" fontId="4" fillId="2" borderId="0" applyAlignment="1" pivotButton="0" quotePrefix="0" xfId="0">
      <alignment horizontal="center"/>
    </xf>
    <xf numFmtId="0" fontId="7" fillId="0" borderId="0" pivotButton="0" quotePrefix="0" xfId="0"/>
    <xf numFmtId="0" fontId="7" fillId="3" borderId="0" pivotButton="0" quotePrefix="0" xfId="0"/>
    <xf numFmtId="0" fontId="5" fillId="3" borderId="0" applyAlignment="1" pivotButton="0" quotePrefix="0" xfId="0">
      <alignment vertical="top" wrapText="1"/>
    </xf>
    <xf numFmtId="0" fontId="8" fillId="0" borderId="0" pivotButton="0" quotePrefix="0" xfId="0"/>
    <xf numFmtId="0" fontId="8" fillId="3" borderId="0" pivotButton="0" quotePrefix="0" xfId="0"/>
    <xf numFmtId="3" fontId="8" fillId="0" borderId="0" applyAlignment="1" pivotButton="0" quotePrefix="0" xfId="0">
      <alignment horizontal="right"/>
    </xf>
    <xf numFmtId="0" fontId="3" fillId="0" borderId="0" applyAlignment="1" pivotButton="0" quotePrefix="0" xfId="0">
      <alignment vertical="center" indent="1"/>
    </xf>
    <xf numFmtId="3" fontId="8" fillId="3" borderId="0" applyAlignment="1" pivotButton="0" quotePrefix="0" xfId="0">
      <alignment horizontal="right"/>
    </xf>
    <xf numFmtId="0" fontId="3" fillId="3" borderId="0" applyAlignment="1" pivotButton="0" quotePrefix="0" xfId="0">
      <alignment vertical="center" indent="1"/>
    </xf>
    <xf numFmtId="4" fontId="8" fillId="3" borderId="0" applyAlignment="1" pivotButton="0" quotePrefix="0" xfId="0">
      <alignment horizontal="right"/>
    </xf>
    <xf numFmtId="0" fontId="5" fillId="0" borderId="0" pivotButton="0" quotePrefix="0" xfId="0"/>
    <xf numFmtId="3" fontId="9" fillId="0" borderId="0" applyAlignment="1" pivotButton="0" quotePrefix="0" xfId="0">
      <alignment horizontal="right"/>
    </xf>
    <xf numFmtId="0" fontId="5" fillId="3" borderId="0" pivotButton="0" quotePrefix="0" xfId="0"/>
    <xf numFmtId="3" fontId="9" fillId="3" borderId="0" applyAlignment="1" pivotButton="0" quotePrefix="0" xfId="0">
      <alignment horizontal="right"/>
    </xf>
    <xf numFmtId="3" fontId="10" fillId="0" borderId="0" applyAlignment="1" pivotButton="0" quotePrefix="0" xfId="0">
      <alignment horizontal="right"/>
    </xf>
    <xf numFmtId="164" fontId="11" fillId="4" borderId="0" applyAlignment="1" pivotButton="0" quotePrefix="0" xfId="0">
      <alignment horizontal="right"/>
    </xf>
    <xf numFmtId="165" fontId="5" fillId="0" borderId="0" applyAlignment="1" pivotButton="0" quotePrefix="0" xfId="0">
      <alignment horizontal="right"/>
    </xf>
    <xf numFmtId="0" fontId="3" fillId="0" borderId="0" applyAlignment="1" pivotButton="0" quotePrefix="0" xfId="0">
      <alignment vertical="top" wrapText="1"/>
    </xf>
    <xf numFmtId="3" fontId="10" fillId="3" borderId="0" applyAlignment="1" pivotButton="0" quotePrefix="0" xfId="0">
      <alignment horizontal="right"/>
    </xf>
    <xf numFmtId="165" fontId="5" fillId="3" borderId="0" applyAlignment="1" pivotButton="0" quotePrefix="0" xfId="0">
      <alignment horizontal="right"/>
    </xf>
    <xf numFmtId="0" fontId="12" fillId="2" borderId="0" pivotButton="0" quotePrefix="0" xfId="0"/>
    <xf numFmtId="0" fontId="9" fillId="2" borderId="0" pivotButton="0" quotePrefix="0" xfId="0"/>
    <xf numFmtId="3" fontId="12" fillId="2" borderId="0" applyAlignment="1" pivotButton="0" quotePrefix="0" xfId="0">
      <alignment horizontal="right"/>
    </xf>
    <xf numFmtId="3" fontId="11" fillId="4" borderId="0" applyAlignment="1" pivotButton="0" quotePrefix="0" xfId="0">
      <alignment horizontal="right"/>
    </xf>
  </cellXfs>
  <cellStyles count="1">
    <cellStyle name="Normal" xfId="0" builtinId="0" hidden="0"/>
  </cellStyles>
  <dxfs count="3">
    <dxf>
      <font>
        <b val="1"/>
        <color rgb="00C0392B"/>
      </font>
      <fill>
        <patternFill patternType="solid">
          <fgColor rgb="00FDECEA"/>
          <bgColor rgb="00FDECEA"/>
        </patternFill>
      </fill>
    </dxf>
    <dxf>
      <font>
        <b val="1"/>
        <color rgb="00B7791F"/>
      </font>
      <fill>
        <patternFill patternType="solid">
          <fgColor rgb="00FFF4E0"/>
          <bgColor rgb="00FFF4E0"/>
        </patternFill>
      </fill>
    </dxf>
    <dxf>
      <font>
        <b val="1"/>
        <color rgb="0000733A"/>
      </font>
      <fill>
        <patternFill patternType="solid">
          <fgColor rgb="00E8F5F0"/>
          <bgColor rgb="00E8F5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harts/chart1.xml><?xml version="1.0" encoding="utf-8"?>
<chartSpace xmlns:a="http://schemas.openxmlformats.org/drawingml/2006/main" xmlns="http://schemas.openxmlformats.org/drawingml/2006/chart">
  <style val="2"/>
  <chart>
    <title>
      <tx>
        <rich>
          <a:bodyPr/>
          <a:p>
            <a:pPr>
              <a:defRPr/>
            </a:pPr>
            <a:r>
              <a:t>Visualizations by type</a:t>
            </a:r>
          </a:p>
        </rich>
      </tx>
    </title>
    <plotArea>
      <doughnutChart>
        <varyColors val="1"/>
        <ser>
          <idx val="0"/>
          <order val="0"/>
          <tx>
            <strRef>
              <f>'ChartVisTypes'!B1</f>
            </strRef>
          </tx>
          <spPr>
            <a:ln>
              <a:prstDash val="solid"/>
            </a:ln>
          </spPr>
          <dPt>
            <idx val="0"/>
            <spPr>
              <a:solidFill>
                <a:srgbClr val="009845"/>
              </a:solidFill>
              <a:ln>
                <a:solidFill>
                  <a:srgbClr val="FFFFFF"/>
                </a:solidFill>
                <a:prstDash val="solid"/>
              </a:ln>
            </spPr>
          </dPt>
          <dPt>
            <idx val="1"/>
            <spPr>
              <a:solidFill>
                <a:srgbClr val="1B3139"/>
              </a:solidFill>
              <a:ln>
                <a:solidFill>
                  <a:srgbClr val="FFFFFF"/>
                </a:solidFill>
                <a:prstDash val="solid"/>
              </a:ln>
            </spPr>
          </dPt>
          <dPt>
            <idx val="2"/>
            <spPr>
              <a:solidFill>
                <a:srgbClr val="006580"/>
              </a:solidFill>
              <a:ln>
                <a:solidFill>
                  <a:srgbClr val="FFFFFF"/>
                </a:solidFill>
                <a:prstDash val="solid"/>
              </a:ln>
            </spPr>
          </dPt>
          <dPt>
            <idx val="3"/>
            <spPr>
              <a:solidFill>
                <a:srgbClr val="7FC8A0"/>
              </a:solidFill>
              <a:ln>
                <a:solidFill>
                  <a:srgbClr val="FFFFFF"/>
                </a:solidFill>
                <a:prstDash val="solid"/>
              </a:ln>
            </spPr>
          </dPt>
          <dPt>
            <idx val="4"/>
            <spPr>
              <a:solidFill>
                <a:srgbClr val="54565A"/>
              </a:solidFill>
              <a:ln>
                <a:solidFill>
                  <a:srgbClr val="FFFFFF"/>
                </a:solidFill>
                <a:prstDash val="solid"/>
              </a:ln>
            </spPr>
          </dPt>
          <dPt>
            <idx val="5"/>
            <spPr>
              <a:solidFill>
                <a:srgbClr val="4FA3B5"/>
              </a:solidFill>
              <a:ln>
                <a:solidFill>
                  <a:srgbClr val="FFFFFF"/>
                </a:solidFill>
                <a:prstDash val="solid"/>
              </a:ln>
            </spPr>
          </dPt>
          <dPt>
            <idx val="6"/>
            <spPr>
              <a:solidFill>
                <a:srgbClr val="2C4650"/>
              </a:solidFill>
              <a:ln>
                <a:solidFill>
                  <a:srgbClr val="FFFFFF"/>
                </a:solidFill>
                <a:prstDash val="solid"/>
              </a:ln>
            </spPr>
          </dPt>
          <dPt>
            <idx val="7"/>
            <spPr>
              <a:solidFill>
                <a:srgbClr val="A3A5A8"/>
              </a:solidFill>
              <a:ln>
                <a:solidFill>
                  <a:srgbClr val="FFFFFF"/>
                </a:solidFill>
                <a:prstDash val="solid"/>
              </a:ln>
            </spPr>
          </dPt>
          <dPt>
            <idx val="8"/>
            <spPr>
              <a:solidFill>
                <a:srgbClr val="00733A"/>
              </a:solidFill>
              <a:ln>
                <a:solidFill>
                  <a:srgbClr val="FFFFFF"/>
                </a:solidFill>
                <a:prstDash val="solid"/>
              </a:ln>
            </spPr>
          </dPt>
          <dPt>
            <idx val="9"/>
            <spPr>
              <a:solidFill>
                <a:srgbClr val="8FB8C4"/>
              </a:solidFill>
              <a:ln>
                <a:solidFill>
                  <a:srgbClr val="FFFFFF"/>
                </a:solidFill>
                <a:prstDash val="solid"/>
              </a:ln>
            </spPr>
          </dPt>
          <dPt>
            <idx val="10"/>
            <spPr>
              <a:solidFill>
                <a:srgbClr val="C9D3D6"/>
              </a:solidFill>
              <a:ln>
                <a:solidFill>
                  <a:srgbClr val="FFFFFF"/>
                </a:solidFill>
                <a:prstDash val="solid"/>
              </a:ln>
            </spPr>
          </dPt>
          <dPt>
            <idx val="11"/>
            <spPr>
              <a:solidFill>
                <a:srgbClr val="B7791F"/>
              </a:solidFill>
              <a:ln>
                <a:solidFill>
                  <a:srgbClr val="FFFFFF"/>
                </a:solidFill>
                <a:prstDash val="solid"/>
              </a:ln>
            </spPr>
          </dPt>
          <dPt>
            <idx val="12"/>
            <spPr>
              <a:solidFill>
                <a:srgbClr val="009845"/>
              </a:solidFill>
              <a:ln>
                <a:solidFill>
                  <a:srgbClr val="FFFFFF"/>
                </a:solidFill>
                <a:prstDash val="solid"/>
              </a:ln>
            </spPr>
          </dPt>
          <dPt>
            <idx val="13"/>
            <spPr>
              <a:solidFill>
                <a:srgbClr val="1B3139"/>
              </a:solidFill>
              <a:ln>
                <a:solidFill>
                  <a:srgbClr val="FFFFFF"/>
                </a:solidFill>
                <a:prstDash val="solid"/>
              </a:ln>
            </spPr>
          </dPt>
          <cat>
            <numRef>
              <f>'ChartVisTypes'!$A$2:$A$15</f>
            </numRef>
          </cat>
          <val>
            <numRef>
              <f>'ChartVisTypes'!$B$2:$B$15</f>
            </numRef>
          </val>
        </ser>
        <firstSliceAng val="0"/>
        <holeSize val="58"/>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Apps by complexity</a:t>
            </a:r>
          </a:p>
        </rich>
      </tx>
    </title>
    <plotArea>
      <barChart>
        <barDir val="col"/>
        <grouping val="clustered"/>
        <ser>
          <idx val="0"/>
          <order val="0"/>
          <tx>
            <strRef>
              <f>'ChartAppComplexity'!B1</f>
            </strRef>
          </tx>
          <spPr>
            <a:solidFill>
              <a:srgbClr val="009845"/>
            </a:solidFill>
            <a:ln>
              <a:noFill/>
              <a:prstDash val="solid"/>
            </a:ln>
          </spPr>
          <dPt>
            <idx val="0"/>
            <spPr>
              <a:solidFill>
                <a:srgbClr val="009845"/>
              </a:solidFill>
              <a:ln>
                <a:prstDash val="solid"/>
              </a:ln>
            </spPr>
          </dPt>
          <dPt>
            <idx val="1"/>
            <spPr>
              <a:solidFill>
                <a:srgbClr val="B7791F"/>
              </a:solidFill>
              <a:ln>
                <a:prstDash val="solid"/>
              </a:ln>
            </spPr>
          </dPt>
          <dPt>
            <idx val="2"/>
            <spPr>
              <a:solidFill>
                <a:srgbClr val="C0392B"/>
              </a:solidFill>
              <a:ln>
                <a:prstDash val="solid"/>
              </a:ln>
            </spPr>
          </dPt>
          <cat>
            <numRef>
              <f>'ChartAppComplexity'!$A$2:$A$4</f>
            </numRef>
          </cat>
          <val>
            <numRef>
              <f>'ChartAppComplexity'!$B$2:$B$4</f>
            </numRef>
          </val>
        </ser>
        <dLbls>
          <showLegendKey val="0"/>
          <showVal val="1"/>
          <showCatName val="0"/>
          <showSerName val="0"/>
          <showPercent val="0"/>
        </dLbls>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Top apps by effort score</a:t>
            </a:r>
          </a:p>
        </rich>
      </tx>
    </title>
    <plotArea>
      <barChart>
        <barDir val="bar"/>
        <grouping val="clustered"/>
        <ser>
          <idx val="0"/>
          <order val="0"/>
          <tx>
            <strRef>
              <f>'ChartTopApps'!B1</f>
            </strRef>
          </tx>
          <spPr>
            <a:solidFill>
              <a:srgbClr val="009845"/>
            </a:solidFill>
            <a:ln>
              <a:noFill/>
              <a:prstDash val="solid"/>
            </a:ln>
          </spPr>
          <cat>
            <numRef>
              <f>'ChartTopApps'!$A$2:$A$9</f>
            </numRef>
          </cat>
          <val>
            <numRef>
              <f>'ChartTopApps'!$B$2:$B$9</f>
            </numRef>
          </val>
        </ser>
        <dLbls>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Kanerika discovery</author>
  </authors>
  <commentList>
    <comment ref="K6" authorId="0" shapeId="0">
      <text>
        <t>Heuristic. High: set analysis AND Aggr(), or longer than 200 characters. Medium: set analysis, Aggr(), If/Pick/Match/Alt, $() expansion, or longer than 80 characters. Low: everything else.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image" Target="/xl/media/image1.png" Id="rId4" /><Relationship Type="http://schemas.openxmlformats.org/officeDocument/2006/relationships/image" Target="/xl/media/image2.png" Id="rId5" /><Relationship Type="http://schemas.openxmlformats.org/officeDocument/2006/relationships/image" Target="/xl/media/image3.png" Id="rId6"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3.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4.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5.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6.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7.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8.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9.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0.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3.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4.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5.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6.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7.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8.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19.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0.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0</row>
      <rowOff>0</rowOff>
    </from>
    <to>
      <col>67</col>
      <colOff>0</colOff>
      <row>4</row>
      <rowOff>0</rowOff>
    </to>
    <pic>
      <nvPicPr>
        <cNvPr id="4" name="Image 4" descr="Picture"/>
        <cNvPicPr/>
      </nvPicPr>
      <blipFill>
        <a:blip cstate="print" r:embed="rId4"/>
        <a:stretch>
          <a:fillRect/>
        </a:stretch>
      </blipFill>
      <spPr>
        <a:prstGeom prst="rect"/>
      </spPr>
    </pic>
    <clientData/>
  </twoCellAnchor>
  <oneCellAnchor>
    <from>
      <col>7</col>
      <colOff>0</colOff>
      <row>29</row>
      <rowOff>0</rowOff>
    </from>
    <ext cx="3960000" cy="2736000"/>
    <graphicFrame>
      <nvGraphicFramePr>
        <cNvPr id="1" name="Chart 1"/>
        <cNvGraphicFramePr/>
      </nvGraphicFramePr>
      <xfrm/>
      <a:graphic>
        <a:graphicData uri="http://schemas.openxmlformats.org/drawingml/2006/chart">
          <c:chart r:id="rId1"/>
        </a:graphicData>
      </a:graphic>
    </graphicFrame>
    <clientData/>
  </oneCellAnchor>
  <oneCellAnchor>
    <from>
      <col>26</col>
      <colOff>0</colOff>
      <row>29</row>
      <rowOff>0</rowOff>
    </from>
    <ext cx="3960000" cy="2736000"/>
    <graphicFrame>
      <nvGraphicFramePr>
        <cNvPr id="2" name="Chart 2"/>
        <cNvGraphicFramePr/>
      </nvGraphicFramePr>
      <xfrm/>
      <a:graphic>
        <a:graphicData uri="http://schemas.openxmlformats.org/drawingml/2006/chart">
          <c:chart r:id="rId2"/>
        </a:graphicData>
      </a:graphic>
    </graphicFrame>
    <clientData/>
  </oneCellAnchor>
  <oneCellAnchor>
    <from>
      <col>45</col>
      <colOff>0</colOff>
      <row>29</row>
      <rowOff>0</rowOff>
    </from>
    <ext cx="3960000" cy="2736000"/>
    <graphicFrame>
      <nvGraphicFramePr>
        <cNvPr id="3" name="Chart 3"/>
        <cNvGraphicFramePr/>
      </nvGraphicFramePr>
      <xfrm/>
      <a:graphic>
        <a:graphicData uri="http://schemas.openxmlformats.org/drawingml/2006/chart">
          <c:chart r:id="rId3"/>
        </a:graphicData>
      </a:graphic>
    </graphicFrame>
    <clientData/>
  </oneCellAnchor>
  <oneCellAnchor>
    <from>
      <col>0</col>
      <colOff>133350</colOff>
      <row>0</row>
      <rowOff>276225</rowOff>
    </from>
    <ext cx="1905000" cy="428625"/>
    <pic>
      <nvPicPr>
        <cNvPr id="5" name="Image 5" descr="Picture"/>
        <cNvPicPr/>
      </nvPicPr>
      <blipFill>
        <a:blip cstate="print" r:embed="rId5"/>
        <a:stretch>
          <a:fillRect/>
        </a:stretch>
      </blipFill>
      <spPr>
        <a:prstGeom prst="rect"/>
      </spPr>
    </pic>
    <clientData/>
  </oneCellAnchor>
  <oneCellAnchor>
    <from>
      <col>56</col>
      <colOff>63667</colOff>
      <row>0</row>
      <rowOff>276225</rowOff>
    </from>
    <ext cx="2098507" cy="438150"/>
    <pic>
      <nvPicPr>
        <cNvPr id="6" name="Image 6" descr="Picture"/>
        <cNvPicPr/>
      </nvPicPr>
      <blipFill>
        <a:blip cstate="print" r:embed="rId6"/>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31</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27</col>
      <colOff>520867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8</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5</col>
      <colOff>387517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14</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10</col>
      <colOff>2787817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14</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11</col>
      <colOff>54142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9</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6</col>
      <colOff>254167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8</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6</col>
      <colOff>1454317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6</col>
      <colOff>54142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10</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7</col>
      <colOff>654217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6</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5</col>
      <colOff>2321092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3</col>
      <colOff>3321217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17</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13</col>
      <colOff>587542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4</col>
      <colOff>1187617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6</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5</col>
      <colOff>2321092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6</col>
      <colOff>1654342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6.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6</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5</col>
      <colOff>2987842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7.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10</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7</col>
      <colOff>254167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8.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8</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5</col>
      <colOff>254167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19.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4</col>
      <colOff>720892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20.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3</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2</col>
      <colOff>6988342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2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6</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5</col>
      <colOff>587542</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drawings/drawing22.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6</col>
      <colOff>0</colOff>
      <row>4</row>
      <rowOff>0</rowOff>
    </to>
    <pic>
      <nvPicPr>
        <cNvPr id="1" name="Image 1" descr="Picture"/>
        <cNvPicPr/>
      </nvPicPr>
      <blipFill>
        <a:blip cstate="print" r:embed="rId1"/>
        <a:stretch>
          <a:fillRect/>
        </a:stretch>
      </blipFill>
      <spPr>
        <a:prstGeom prst="rect"/>
      </spPr>
    </pic>
    <clientData/>
  </twoCellAnchor>
  <oneCellAnchor>
    <from>
      <col>0</col>
      <colOff>133350</colOff>
      <row>0</row>
      <rowOff>276225</rowOff>
    </from>
    <ext cx="1905000" cy="428625"/>
    <pic>
      <nvPicPr>
        <cNvPr id="2" name="Image 2" descr="Picture"/>
        <cNvPicPr/>
      </nvPicPr>
      <blipFill>
        <a:blip cstate="print" r:embed="rId2"/>
        <a:stretch>
          <a:fillRect/>
        </a:stretch>
      </blipFill>
      <spPr>
        <a:prstGeom prst="rect"/>
      </spPr>
    </pic>
    <clientData/>
  </oneCellAnchor>
  <oneCellAnchor>
    <from>
      <col>4</col>
      <colOff>2654467</colOff>
      <row>0</row>
      <rowOff>276225</rowOff>
    </from>
    <ext cx="2098507" cy="43815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_rels/sheet15.xml.rels><Relationships xmlns="http://schemas.openxmlformats.org/package/2006/relationships"><Relationship Type="http://schemas.openxmlformats.org/officeDocument/2006/relationships/drawing" Target="/xl/drawings/drawing15.xml" Id="rId1" /></Relationships>
</file>

<file path=xl/worksheets/_rels/sheet16.xml.rels><Relationships xmlns="http://schemas.openxmlformats.org/package/2006/relationships"><Relationship Type="http://schemas.openxmlformats.org/officeDocument/2006/relationships/drawing" Target="/xl/drawings/drawing16.xml" Id="rId1" /></Relationships>
</file>

<file path=xl/worksheets/_rels/sheet17.xml.rels><Relationships xmlns="http://schemas.openxmlformats.org/package/2006/relationships"><Relationship Type="http://schemas.openxmlformats.org/officeDocument/2006/relationships/drawing" Target="/xl/drawings/drawing17.xml" Id="rId1" /></Relationships>
</file>

<file path=xl/worksheets/_rels/sheet18.xml.rels><Relationships xmlns="http://schemas.openxmlformats.org/package/2006/relationships"><Relationship Type="http://schemas.openxmlformats.org/officeDocument/2006/relationships/drawing" Target="/xl/drawings/drawing18.xml" Id="rId1" /></Relationships>
</file>

<file path=xl/worksheets/_rels/sheet19.xml.rels><Relationships xmlns="http://schemas.openxmlformats.org/package/2006/relationships"><Relationship Type="http://schemas.openxmlformats.org/officeDocument/2006/relationships/drawing" Target="/xl/drawings/drawing19.xml" Id="rId1" /></Relationships>
</file>

<file path=xl/worksheets/_rels/sheet20.xml.rels><Relationships xmlns="http://schemas.openxmlformats.org/package/2006/relationships"><Relationship Type="http://schemas.openxmlformats.org/officeDocument/2006/relationships/drawing" Target="/xl/drawings/drawing20.xml" Id="rId1" /></Relationships>
</file>

<file path=xl/worksheets/_rels/sheet21.xml.rels><Relationships xmlns="http://schemas.openxmlformats.org/package/2006/relationships"><Relationship Type="http://schemas.openxmlformats.org/officeDocument/2006/relationships/drawing" Target="/xl/drawings/drawing21.xml" Id="rId1" /></Relationships>
</file>

<file path=xl/worksheets/_rels/sheet22.xml.rels><Relationships xmlns="http://schemas.openxmlformats.org/package/2006/relationships"><Relationship Type="http://schemas.openxmlformats.org/officeDocument/2006/relationships/drawing" Target="/xl/drawings/drawing22.xml" Id="rId1" /></Relationships>
</file>

<file path=xl/worksheets/sheet1.xml><?xml version="1.0" encoding="utf-8"?>
<worksheet xmlns="http://schemas.openxmlformats.org/spreadsheetml/2006/main">
  <sheetPr>
    <tabColor rgb="00009845"/>
    <outlinePr summaryBelow="1" summaryRight="1"/>
    <pageSetUpPr fitToPage="1"/>
  </sheetPr>
  <dimension ref="A2:BJ29"/>
  <sheetViews>
    <sheetView showGridLines="0" workbookViewId="0">
      <selection activeCell="A1" sqref="A1"/>
    </sheetView>
  </sheetViews>
  <sheetFormatPr baseColWidth="8" defaultRowHeight="15"/>
  <cols>
    <col width="3.3" customWidth="1" min="1" max="1"/>
    <col width="3.3" customWidth="1" min="2" max="2"/>
    <col width="3.3"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3" customWidth="1" min="12" max="12"/>
    <col width="3.3" customWidth="1" min="13" max="13"/>
    <col width="3.3" customWidth="1" min="14" max="14"/>
    <col width="3.3" customWidth="1" min="15" max="15"/>
    <col width="3.3" customWidth="1" min="16" max="16"/>
    <col width="3.3" customWidth="1" min="17" max="17"/>
    <col width="3.3" customWidth="1" min="18" max="18"/>
    <col width="3.3" customWidth="1" min="19" max="19"/>
    <col width="3.3" customWidth="1" min="20" max="20"/>
    <col width="3.3" customWidth="1" min="21" max="21"/>
    <col width="3.3" customWidth="1" min="22" max="22"/>
    <col width="3.3"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s>
  <sheetData>
    <row r="1" ht="24" customHeight="1"/>
    <row r="2" ht="24" customHeight="1">
      <c r="L2" s="1" t="inlineStr">
        <is>
          <t>QLIK SENSE DISCOVERY  ·  WHAT THE APPS CONTAIN</t>
        </is>
      </c>
    </row>
    <row r="3" ht="20" customHeight="1"/>
    <row r="4" ht="10" customHeight="1"/>
    <row r="5" ht="18" customHeight="1">
      <c r="A5" s="2" t="inlineStr">
        <is>
          <t>Input: /home/joginder-singh/workspace/qliksense_to_powerbi_premigration/sample_files   ·   generated 2026-10-08 21:41</t>
        </is>
      </c>
    </row>
    <row r="6" ht="8" customHeight="1"/>
    <row r="7" ht="18" customHeight="1">
      <c r="A7" s="3" t="inlineStr">
        <is>
          <t>NAVIGATE</t>
        </is>
      </c>
      <c r="H7" s="4">
        <f>'Totals'!$B$9</f>
        <v/>
      </c>
      <c r="I7" s="5" t="n"/>
      <c r="J7" s="5" t="n"/>
      <c r="K7" s="5" t="n"/>
      <c r="L7" s="5" t="n"/>
      <c r="M7" s="5" t="n"/>
      <c r="N7" s="5" t="n"/>
      <c r="O7" s="5" t="n"/>
      <c r="Q7" s="4">
        <f>'Totals'!$B$20</f>
        <v/>
      </c>
      <c r="R7" s="5" t="n"/>
      <c r="S7" s="5" t="n"/>
      <c r="T7" s="5" t="n"/>
      <c r="U7" s="5" t="n"/>
      <c r="V7" s="5" t="n"/>
      <c r="W7" s="5" t="n"/>
      <c r="X7" s="5" t="n"/>
      <c r="Z7" s="4">
        <f>'Totals'!$B$21</f>
        <v/>
      </c>
      <c r="AA7" s="5" t="n"/>
      <c r="AB7" s="5" t="n"/>
      <c r="AC7" s="5" t="n"/>
      <c r="AD7" s="5" t="n"/>
      <c r="AE7" s="5" t="n"/>
      <c r="AF7" s="5" t="n"/>
      <c r="AG7" s="5" t="n"/>
      <c r="AI7" s="4">
        <f>'Totals'!$B$22</f>
        <v/>
      </c>
      <c r="AJ7" s="5" t="n"/>
      <c r="AK7" s="5" t="n"/>
      <c r="AL7" s="5" t="n"/>
      <c r="AM7" s="5" t="n"/>
      <c r="AN7" s="5" t="n"/>
      <c r="AO7" s="5" t="n"/>
      <c r="AP7" s="5" t="n"/>
      <c r="AR7" s="6" t="inlineStr">
        <is>
          <t>SCAN SUMMARY</t>
        </is>
      </c>
      <c r="AS7" s="7" t="n"/>
      <c r="AT7" s="7" t="n"/>
      <c r="AU7" s="7" t="n"/>
      <c r="AV7" s="7" t="n"/>
      <c r="AW7" s="7" t="n"/>
      <c r="AX7" s="7" t="n"/>
      <c r="AY7" s="7" t="n"/>
      <c r="AZ7" s="7" t="n"/>
      <c r="BA7" s="7" t="n"/>
      <c r="BB7" s="7" t="n"/>
      <c r="BC7" s="7" t="n"/>
      <c r="BD7" s="7" t="n"/>
      <c r="BE7" s="7" t="n"/>
      <c r="BF7" s="7" t="n"/>
      <c r="BG7" s="7" t="n"/>
      <c r="BH7" s="7" t="n"/>
      <c r="BI7" s="7" t="n"/>
      <c r="BJ7" s="7" t="n"/>
    </row>
    <row r="8" ht="18" customHeight="1">
      <c r="A8" s="8">
        <f>HYPERLINK("#'Discovery'!A1","Discovery")</f>
        <v/>
      </c>
      <c r="B8" s="9" t="n"/>
      <c r="C8" s="9" t="n"/>
      <c r="D8" s="9" t="n"/>
      <c r="E8" s="9" t="n"/>
      <c r="F8" s="9" t="n"/>
      <c r="H8" s="5" t="n"/>
      <c r="I8" s="5" t="n"/>
      <c r="J8" s="5" t="n"/>
      <c r="K8" s="5" t="n"/>
      <c r="L8" s="5" t="n"/>
      <c r="M8" s="5" t="n"/>
      <c r="N8" s="5" t="n"/>
      <c r="O8" s="5" t="n"/>
      <c r="Q8" s="5" t="n"/>
      <c r="R8" s="5" t="n"/>
      <c r="S8" s="5" t="n"/>
      <c r="T8" s="5" t="n"/>
      <c r="U8" s="5" t="n"/>
      <c r="V8" s="5" t="n"/>
      <c r="W8" s="5" t="n"/>
      <c r="X8" s="5" t="n"/>
      <c r="Z8" s="5" t="n"/>
      <c r="AA8" s="5" t="n"/>
      <c r="AB8" s="5" t="n"/>
      <c r="AC8" s="5" t="n"/>
      <c r="AD8" s="5" t="n"/>
      <c r="AE8" s="5" t="n"/>
      <c r="AF8" s="5" t="n"/>
      <c r="AG8" s="5" t="n"/>
      <c r="AI8" s="5" t="n"/>
      <c r="AJ8" s="5" t="n"/>
      <c r="AK8" s="5" t="n"/>
      <c r="AL8" s="5" t="n"/>
      <c r="AM8" s="5" t="n"/>
      <c r="AN8" s="5" t="n"/>
      <c r="AO8" s="5" t="n"/>
      <c r="AP8" s="5" t="n"/>
      <c r="AR8" s="10" t="inlineStr">
        <is>
          <t>Input folder</t>
        </is>
      </c>
      <c r="AS8" s="11" t="n"/>
      <c r="AT8" s="11" t="n"/>
      <c r="AU8" s="11" t="n"/>
      <c r="AV8" s="11" t="n"/>
      <c r="AW8" s="11" t="n"/>
      <c r="AX8" s="11" t="n"/>
      <c r="AY8" s="11" t="n"/>
      <c r="AZ8" s="11" t="n"/>
      <c r="BA8" s="11" t="n"/>
      <c r="BB8" s="12" t="inlineStr">
        <is>
          <t>sample_files</t>
        </is>
      </c>
      <c r="BC8" s="11" t="n"/>
      <c r="BD8" s="11" t="n"/>
      <c r="BE8" s="11" t="n"/>
      <c r="BF8" s="11" t="n"/>
      <c r="BG8" s="11" t="n"/>
      <c r="BH8" s="11" t="n"/>
      <c r="BI8" s="11" t="n"/>
      <c r="BJ8" s="11" t="n"/>
    </row>
    <row r="9" ht="18" customHeight="1">
      <c r="A9" s="13">
        <f>HYPERLINK("#'Apps'!A1","Apps")</f>
        <v/>
      </c>
      <c r="B9" s="14" t="n"/>
      <c r="C9" s="14" t="n"/>
      <c r="D9" s="14" t="n"/>
      <c r="E9" s="14" t="n"/>
      <c r="F9" s="14" t="n"/>
      <c r="H9" s="15" t="inlineStr">
        <is>
          <t>APPS DISCOVERED</t>
        </is>
      </c>
      <c r="I9" s="5" t="n"/>
      <c r="J9" s="5" t="n"/>
      <c r="K9" s="5" t="n"/>
      <c r="L9" s="5" t="n"/>
      <c r="M9" s="5" t="n"/>
      <c r="N9" s="5" t="n"/>
      <c r="O9" s="5" t="n"/>
      <c r="Q9" s="15" t="inlineStr">
        <is>
          <t>SHEETS</t>
        </is>
      </c>
      <c r="R9" s="5" t="n"/>
      <c r="S9" s="5" t="n"/>
      <c r="T9" s="5" t="n"/>
      <c r="U9" s="5" t="n"/>
      <c r="V9" s="5" t="n"/>
      <c r="W9" s="5" t="n"/>
      <c r="X9" s="5" t="n"/>
      <c r="Z9" s="15" t="inlineStr">
        <is>
          <t>VISUALIZATIONS ON SHEETS</t>
        </is>
      </c>
      <c r="AA9" s="5" t="n"/>
      <c r="AB9" s="5" t="n"/>
      <c r="AC9" s="5" t="n"/>
      <c r="AD9" s="5" t="n"/>
      <c r="AE9" s="5" t="n"/>
      <c r="AF9" s="5" t="n"/>
      <c r="AG9" s="5" t="n"/>
      <c r="AI9" s="15" t="inlineStr">
        <is>
          <t>VISUALIZATION TYPES USED</t>
        </is>
      </c>
      <c r="AJ9" s="5" t="n"/>
      <c r="AK9" s="5" t="n"/>
      <c r="AL9" s="5" t="n"/>
      <c r="AM9" s="5" t="n"/>
      <c r="AN9" s="5" t="n"/>
      <c r="AO9" s="5" t="n"/>
      <c r="AP9" s="5" t="n"/>
      <c r="AR9" s="16" t="inlineStr">
        <is>
          <t>Sub-folders included</t>
        </is>
      </c>
      <c r="AS9" s="17" t="n"/>
      <c r="AT9" s="17" t="n"/>
      <c r="AU9" s="17" t="n"/>
      <c r="AV9" s="17" t="n"/>
      <c r="AW9" s="17" t="n"/>
      <c r="AX9" s="17" t="n"/>
      <c r="AY9" s="17" t="n"/>
      <c r="AZ9" s="17" t="n"/>
      <c r="BA9" s="17" t="n"/>
      <c r="BB9" s="18" t="inlineStr">
        <is>
          <t>No</t>
        </is>
      </c>
      <c r="BC9" s="17" t="n"/>
      <c r="BD9" s="17" t="n"/>
      <c r="BE9" s="17" t="n"/>
      <c r="BF9" s="17" t="n"/>
      <c r="BG9" s="17" t="n"/>
      <c r="BH9" s="17" t="n"/>
      <c r="BI9" s="17" t="n"/>
      <c r="BJ9" s="17" t="n"/>
    </row>
    <row r="10" ht="18" customHeight="1">
      <c r="A10" s="13">
        <f>HYPERLINK("#'Sheets'!A1","Sheets")</f>
        <v/>
      </c>
      <c r="B10" s="14" t="n"/>
      <c r="C10" s="14" t="n"/>
      <c r="D10" s="14" t="n"/>
      <c r="E10" s="14" t="n"/>
      <c r="F10" s="14" t="n"/>
      <c r="H10" s="19" t="n"/>
      <c r="I10" s="19" t="n"/>
      <c r="J10" s="19" t="n"/>
      <c r="K10" s="19" t="n"/>
      <c r="L10" s="19" t="n"/>
      <c r="M10" s="19" t="n"/>
      <c r="N10" s="19" t="n"/>
      <c r="O10" s="19" t="n"/>
      <c r="Q10" s="19" t="n"/>
      <c r="R10" s="19" t="n"/>
      <c r="S10" s="19" t="n"/>
      <c r="T10" s="19" t="n"/>
      <c r="U10" s="19" t="n"/>
      <c r="V10" s="19" t="n"/>
      <c r="W10" s="19" t="n"/>
      <c r="X10" s="19" t="n"/>
      <c r="Z10" s="19" t="n"/>
      <c r="AA10" s="19" t="n"/>
      <c r="AB10" s="19" t="n"/>
      <c r="AC10" s="19" t="n"/>
      <c r="AD10" s="19" t="n"/>
      <c r="AE10" s="19" t="n"/>
      <c r="AF10" s="19" t="n"/>
      <c r="AG10" s="19" t="n"/>
      <c r="AI10" s="19" t="n"/>
      <c r="AJ10" s="19" t="n"/>
      <c r="AK10" s="19" t="n"/>
      <c r="AL10" s="19" t="n"/>
      <c r="AM10" s="19" t="n"/>
      <c r="AN10" s="19" t="n"/>
      <c r="AO10" s="19" t="n"/>
      <c r="AP10" s="19" t="n"/>
      <c r="AR10" s="10" t="inlineStr">
        <is>
          <t>Output folder</t>
        </is>
      </c>
      <c r="AS10" s="11" t="n"/>
      <c r="AT10" s="11" t="n"/>
      <c r="AU10" s="11" t="n"/>
      <c r="AV10" s="11" t="n"/>
      <c r="AW10" s="11" t="n"/>
      <c r="AX10" s="11" t="n"/>
      <c r="AY10" s="11" t="n"/>
      <c r="AZ10" s="11" t="n"/>
      <c r="BA10" s="11" t="n"/>
      <c r="BB10" s="12" t="inlineStr">
        <is>
          <t>output</t>
        </is>
      </c>
      <c r="BC10" s="11" t="n"/>
      <c r="BD10" s="11" t="n"/>
      <c r="BE10" s="11" t="n"/>
      <c r="BF10" s="11" t="n"/>
      <c r="BG10" s="11" t="n"/>
      <c r="BH10" s="11" t="n"/>
      <c r="BI10" s="11" t="n"/>
      <c r="BJ10" s="11" t="n"/>
    </row>
    <row r="11" ht="18" customHeight="1">
      <c r="A11" s="13">
        <f>HYPERLINK("#'Visualizations'!A1","Visualizations")</f>
        <v/>
      </c>
      <c r="B11" s="14" t="n"/>
      <c r="C11" s="14" t="n"/>
      <c r="D11" s="14" t="n"/>
      <c r="E11" s="14" t="n"/>
      <c r="F11" s="14" t="n"/>
      <c r="AR11" s="16" t="inlineStr">
        <is>
          <t>Apps discovered</t>
        </is>
      </c>
      <c r="AS11" s="17" t="n"/>
      <c r="AT11" s="17" t="n"/>
      <c r="AU11" s="17" t="n"/>
      <c r="AV11" s="17" t="n"/>
      <c r="AW11" s="17" t="n"/>
      <c r="AX11" s="17" t="n"/>
      <c r="AY11" s="17" t="n"/>
      <c r="AZ11" s="17" t="n"/>
      <c r="BA11" s="17" t="n"/>
      <c r="BB11" s="20">
        <f>'Totals'!$B$9</f>
        <v/>
      </c>
      <c r="BC11" s="17" t="n"/>
      <c r="BD11" s="17" t="n"/>
      <c r="BE11" s="17" t="n"/>
      <c r="BF11" s="17" t="n"/>
      <c r="BG11" s="17" t="n"/>
      <c r="BH11" s="17" t="n"/>
      <c r="BI11" s="17" t="n"/>
      <c r="BJ11" s="17" t="n"/>
    </row>
    <row r="12" ht="18" customHeight="1">
      <c r="A12" s="13">
        <f>HYPERLINK("#'MasterMeasures'!A1","Master Measures")</f>
        <v/>
      </c>
      <c r="B12" s="14" t="n"/>
      <c r="C12" s="14" t="n"/>
      <c r="D12" s="14" t="n"/>
      <c r="E12" s="14" t="n"/>
      <c r="F12" s="14" t="n"/>
      <c r="H12" s="4">
        <f>'Totals'!$B$30</f>
        <v/>
      </c>
      <c r="I12" s="5" t="n"/>
      <c r="J12" s="5" t="n"/>
      <c r="K12" s="5" t="n"/>
      <c r="L12" s="5" t="n"/>
      <c r="M12" s="5" t="n"/>
      <c r="N12" s="5" t="n"/>
      <c r="O12" s="5" t="n"/>
      <c r="Q12" s="4">
        <f>'Totals'!$B$35</f>
        <v/>
      </c>
      <c r="R12" s="5" t="n"/>
      <c r="S12" s="5" t="n"/>
      <c r="T12" s="5" t="n"/>
      <c r="U12" s="5" t="n"/>
      <c r="V12" s="5" t="n"/>
      <c r="W12" s="5" t="n"/>
      <c r="X12" s="5" t="n"/>
      <c r="Z12" s="4">
        <f>'Totals'!$B$37</f>
        <v/>
      </c>
      <c r="AA12" s="5" t="n"/>
      <c r="AB12" s="5" t="n"/>
      <c r="AC12" s="5" t="n"/>
      <c r="AD12" s="5" t="n"/>
      <c r="AE12" s="5" t="n"/>
      <c r="AF12" s="5" t="n"/>
      <c r="AG12" s="5" t="n"/>
      <c r="AI12" s="4">
        <f>'Totals'!$B$38</f>
        <v/>
      </c>
      <c r="AJ12" s="5" t="n"/>
      <c r="AK12" s="5" t="n"/>
      <c r="AL12" s="5" t="n"/>
      <c r="AM12" s="5" t="n"/>
      <c r="AN12" s="5" t="n"/>
      <c r="AO12" s="5" t="n"/>
      <c r="AP12" s="5" t="n"/>
      <c r="AR12" s="10" t="inlineStr">
        <is>
          <t>Apps parsed</t>
        </is>
      </c>
      <c r="AS12" s="11" t="n"/>
      <c r="AT12" s="11" t="n"/>
      <c r="AU12" s="11" t="n"/>
      <c r="AV12" s="11" t="n"/>
      <c r="AW12" s="11" t="n"/>
      <c r="AX12" s="11" t="n"/>
      <c r="AY12" s="11" t="n"/>
      <c r="AZ12" s="11" t="n"/>
      <c r="BA12" s="11" t="n"/>
      <c r="BB12" s="21">
        <f>'Totals'!$B$10</f>
        <v/>
      </c>
      <c r="BC12" s="11" t="n"/>
      <c r="BD12" s="11" t="n"/>
      <c r="BE12" s="11" t="n"/>
      <c r="BF12" s="11" t="n"/>
      <c r="BG12" s="11" t="n"/>
      <c r="BH12" s="11" t="n"/>
      <c r="BI12" s="11" t="n"/>
      <c r="BJ12" s="11" t="n"/>
    </row>
    <row r="13" ht="18" customHeight="1">
      <c r="A13" s="13">
        <f>HYPERLINK("#'MasterDimensions'!A1","Master Dimensions")</f>
        <v/>
      </c>
      <c r="B13" s="14" t="n"/>
      <c r="C13" s="14" t="n"/>
      <c r="D13" s="14" t="n"/>
      <c r="E13" s="14" t="n"/>
      <c r="F13" s="14" t="n"/>
      <c r="H13" s="5" t="n"/>
      <c r="I13" s="5" t="n"/>
      <c r="J13" s="5" t="n"/>
      <c r="K13" s="5" t="n"/>
      <c r="L13" s="5" t="n"/>
      <c r="M13" s="5" t="n"/>
      <c r="N13" s="5" t="n"/>
      <c r="O13" s="5" t="n"/>
      <c r="Q13" s="5" t="n"/>
      <c r="R13" s="5" t="n"/>
      <c r="S13" s="5" t="n"/>
      <c r="T13" s="5" t="n"/>
      <c r="U13" s="5" t="n"/>
      <c r="V13" s="5" t="n"/>
      <c r="W13" s="5" t="n"/>
      <c r="X13" s="5" t="n"/>
      <c r="Z13" s="5" t="n"/>
      <c r="AA13" s="5" t="n"/>
      <c r="AB13" s="5" t="n"/>
      <c r="AC13" s="5" t="n"/>
      <c r="AD13" s="5" t="n"/>
      <c r="AE13" s="5" t="n"/>
      <c r="AF13" s="5" t="n"/>
      <c r="AG13" s="5" t="n"/>
      <c r="AI13" s="5" t="n"/>
      <c r="AJ13" s="5" t="n"/>
      <c r="AK13" s="5" t="n"/>
      <c r="AL13" s="5" t="n"/>
      <c r="AM13" s="5" t="n"/>
      <c r="AN13" s="5" t="n"/>
      <c r="AO13" s="5" t="n"/>
      <c r="AP13" s="5" t="n"/>
      <c r="AR13" s="16" t="inlineStr">
        <is>
          <t>Apps failed</t>
        </is>
      </c>
      <c r="AS13" s="17" t="n"/>
      <c r="AT13" s="17" t="n"/>
      <c r="AU13" s="17" t="n"/>
      <c r="AV13" s="17" t="n"/>
      <c r="AW13" s="17" t="n"/>
      <c r="AX13" s="17" t="n"/>
      <c r="AY13" s="17" t="n"/>
      <c r="AZ13" s="17" t="n"/>
      <c r="BA13" s="17" t="n"/>
      <c r="BB13" s="22">
        <f>'Totals'!$B$11</f>
        <v/>
      </c>
      <c r="BC13" s="17" t="n"/>
      <c r="BD13" s="17" t="n"/>
      <c r="BE13" s="17" t="n"/>
      <c r="BF13" s="17" t="n"/>
      <c r="BG13" s="17" t="n"/>
      <c r="BH13" s="17" t="n"/>
      <c r="BI13" s="17" t="n"/>
      <c r="BJ13" s="17" t="n"/>
    </row>
    <row r="14" ht="18" customHeight="1">
      <c r="A14" s="13">
        <f>HYPERLINK("#'MasterVisualizations'!A1","Master Visuals")</f>
        <v/>
      </c>
      <c r="B14" s="14" t="n"/>
      <c r="C14" s="14" t="n"/>
      <c r="D14" s="14" t="n"/>
      <c r="E14" s="14" t="n"/>
      <c r="F14" s="14" t="n"/>
      <c r="H14" s="15" t="inlineStr">
        <is>
          <t>MASTER MEASURES</t>
        </is>
      </c>
      <c r="I14" s="5" t="n"/>
      <c r="J14" s="5" t="n"/>
      <c r="K14" s="5" t="n"/>
      <c r="L14" s="5" t="n"/>
      <c r="M14" s="5" t="n"/>
      <c r="N14" s="5" t="n"/>
      <c r="O14" s="5" t="n"/>
      <c r="Q14" s="15" t="inlineStr">
        <is>
          <t>MASTER DIMENSIONS</t>
        </is>
      </c>
      <c r="R14" s="5" t="n"/>
      <c r="S14" s="5" t="n"/>
      <c r="T14" s="5" t="n"/>
      <c r="U14" s="5" t="n"/>
      <c r="V14" s="5" t="n"/>
      <c r="W14" s="5" t="n"/>
      <c r="X14" s="5" t="n"/>
      <c r="Z14" s="15" t="inlineStr">
        <is>
          <t>MASTER VISUALIZATIONS</t>
        </is>
      </c>
      <c r="AA14" s="5" t="n"/>
      <c r="AB14" s="5" t="n"/>
      <c r="AC14" s="5" t="n"/>
      <c r="AD14" s="5" t="n"/>
      <c r="AE14" s="5" t="n"/>
      <c r="AF14" s="5" t="n"/>
      <c r="AG14" s="5" t="n"/>
      <c r="AI14" s="15" t="inlineStr">
        <is>
          <t>VARIABLES</t>
        </is>
      </c>
      <c r="AJ14" s="5" t="n"/>
      <c r="AK14" s="5" t="n"/>
      <c r="AL14" s="5" t="n"/>
      <c r="AM14" s="5" t="n"/>
      <c r="AN14" s="5" t="n"/>
      <c r="AO14" s="5" t="n"/>
      <c r="AP14" s="5" t="n"/>
      <c r="AR14" s="10" t="inlineStr">
        <is>
          <t>Total size (MB)</t>
        </is>
      </c>
      <c r="AS14" s="11" t="n"/>
      <c r="AT14" s="11" t="n"/>
      <c r="AU14" s="11" t="n"/>
      <c r="AV14" s="11" t="n"/>
      <c r="AW14" s="11" t="n"/>
      <c r="AX14" s="11" t="n"/>
      <c r="AY14" s="11" t="n"/>
      <c r="AZ14" s="11" t="n"/>
      <c r="BA14" s="11" t="n"/>
      <c r="BB14" s="23">
        <f>'Totals'!$B$12</f>
        <v/>
      </c>
      <c r="BC14" s="11" t="n"/>
      <c r="BD14" s="11" t="n"/>
      <c r="BE14" s="11" t="n"/>
      <c r="BF14" s="11" t="n"/>
      <c r="BG14" s="11" t="n"/>
      <c r="BH14" s="11" t="n"/>
      <c r="BI14" s="11" t="n"/>
      <c r="BJ14" s="11" t="n"/>
    </row>
    <row r="15" ht="18" customHeight="1">
      <c r="A15" s="13">
        <f>HYPERLINK("#'MasterItemUsage'!A1","Master Item Usage")</f>
        <v/>
      </c>
      <c r="B15" s="14" t="n"/>
      <c r="C15" s="14" t="n"/>
      <c r="D15" s="14" t="n"/>
      <c r="E15" s="14" t="n"/>
      <c r="F15" s="14" t="n"/>
      <c r="H15" s="19" t="n"/>
      <c r="I15" s="19" t="n"/>
      <c r="J15" s="19" t="n"/>
      <c r="K15" s="19" t="n"/>
      <c r="L15" s="19" t="n"/>
      <c r="M15" s="19" t="n"/>
      <c r="N15" s="19" t="n"/>
      <c r="O15" s="19" t="n"/>
      <c r="Q15" s="19" t="n"/>
      <c r="R15" s="19" t="n"/>
      <c r="S15" s="19" t="n"/>
      <c r="T15" s="19" t="n"/>
      <c r="U15" s="19" t="n"/>
      <c r="V15" s="19" t="n"/>
      <c r="W15" s="19" t="n"/>
      <c r="X15" s="19" t="n"/>
      <c r="Z15" s="19" t="n"/>
      <c r="AA15" s="19" t="n"/>
      <c r="AB15" s="19" t="n"/>
      <c r="AC15" s="19" t="n"/>
      <c r="AD15" s="19" t="n"/>
      <c r="AE15" s="19" t="n"/>
      <c r="AF15" s="19" t="n"/>
      <c r="AG15" s="19" t="n"/>
      <c r="AI15" s="19" t="n"/>
      <c r="AJ15" s="19" t="n"/>
      <c r="AK15" s="19" t="n"/>
      <c r="AL15" s="19" t="n"/>
      <c r="AM15" s="19" t="n"/>
      <c r="AN15" s="19" t="n"/>
      <c r="AO15" s="19" t="n"/>
      <c r="AP15" s="19" t="n"/>
      <c r="AR15" s="16" t="inlineStr">
        <is>
          <t>Low-complexity apps</t>
        </is>
      </c>
      <c r="AS15" s="17" t="n"/>
      <c r="AT15" s="17" t="n"/>
      <c r="AU15" s="17" t="n"/>
      <c r="AV15" s="17" t="n"/>
      <c r="AW15" s="17" t="n"/>
      <c r="AX15" s="17" t="n"/>
      <c r="AY15" s="17" t="n"/>
      <c r="AZ15" s="17" t="n"/>
      <c r="BA15" s="17" t="n"/>
      <c r="BB15" s="20">
        <f>'Totals'!$B$15</f>
        <v/>
      </c>
      <c r="BC15" s="17" t="n"/>
      <c r="BD15" s="17" t="n"/>
      <c r="BE15" s="17" t="n"/>
      <c r="BF15" s="17" t="n"/>
      <c r="BG15" s="17" t="n"/>
      <c r="BH15" s="17" t="n"/>
      <c r="BI15" s="17" t="n"/>
      <c r="BJ15" s="17" t="n"/>
    </row>
    <row r="16" ht="18" customHeight="1">
      <c r="A16" s="13">
        <f>HYPERLINK("#'Variables'!A1","Variables")</f>
        <v/>
      </c>
      <c r="B16" s="14" t="n"/>
      <c r="C16" s="14" t="n"/>
      <c r="D16" s="14" t="n"/>
      <c r="E16" s="14" t="n"/>
      <c r="F16" s="14" t="n"/>
      <c r="AR16" s="10" t="inlineStr">
        <is>
          <t>Medium-complexity apps</t>
        </is>
      </c>
      <c r="AS16" s="11" t="n"/>
      <c r="AT16" s="11" t="n"/>
      <c r="AU16" s="11" t="n"/>
      <c r="AV16" s="11" t="n"/>
      <c r="AW16" s="11" t="n"/>
      <c r="AX16" s="11" t="n"/>
      <c r="AY16" s="11" t="n"/>
      <c r="AZ16" s="11" t="n"/>
      <c r="BA16" s="11" t="n"/>
      <c r="BB16" s="21">
        <f>'Totals'!$B$14</f>
        <v/>
      </c>
      <c r="BC16" s="11" t="n"/>
      <c r="BD16" s="11" t="n"/>
      <c r="BE16" s="11" t="n"/>
      <c r="BF16" s="11" t="n"/>
      <c r="BG16" s="11" t="n"/>
      <c r="BH16" s="11" t="n"/>
      <c r="BI16" s="11" t="n"/>
      <c r="BJ16" s="11" t="n"/>
    </row>
    <row r="17" ht="18" customHeight="1">
      <c r="A17" s="13">
        <f>HYPERLINK("#'Bookmarks'!A1","Bookmarks")</f>
        <v/>
      </c>
      <c r="B17" s="14" t="n"/>
      <c r="C17" s="14" t="n"/>
      <c r="D17" s="14" t="n"/>
      <c r="E17" s="14" t="n"/>
      <c r="F17" s="14" t="n"/>
      <c r="H17" s="4">
        <f>'Totals'!$B$43</f>
        <v/>
      </c>
      <c r="I17" s="5" t="n"/>
      <c r="J17" s="5" t="n"/>
      <c r="K17" s="5" t="n"/>
      <c r="L17" s="5" t="n"/>
      <c r="M17" s="5" t="n"/>
      <c r="N17" s="5" t="n"/>
      <c r="O17" s="5" t="n"/>
      <c r="Q17" s="4">
        <f>'Totals'!$B$45</f>
        <v/>
      </c>
      <c r="R17" s="5" t="n"/>
      <c r="S17" s="5" t="n"/>
      <c r="T17" s="5" t="n"/>
      <c r="U17" s="5" t="n"/>
      <c r="V17" s="5" t="n"/>
      <c r="W17" s="5" t="n"/>
      <c r="X17" s="5" t="n"/>
      <c r="Z17" s="4">
        <f>'Totals'!$B$47</f>
        <v/>
      </c>
      <c r="AA17" s="5" t="n"/>
      <c r="AB17" s="5" t="n"/>
      <c r="AC17" s="5" t="n"/>
      <c r="AD17" s="5" t="n"/>
      <c r="AE17" s="5" t="n"/>
      <c r="AF17" s="5" t="n"/>
      <c r="AG17" s="5" t="n"/>
      <c r="AI17" s="4">
        <f>'Totals'!$B$49</f>
        <v/>
      </c>
      <c r="AJ17" s="5" t="n"/>
      <c r="AK17" s="5" t="n"/>
      <c r="AL17" s="5" t="n"/>
      <c r="AM17" s="5" t="n"/>
      <c r="AN17" s="5" t="n"/>
      <c r="AO17" s="5" t="n"/>
      <c r="AP17" s="5" t="n"/>
      <c r="AR17" s="16" t="inlineStr">
        <is>
          <t>High-complexity apps</t>
        </is>
      </c>
      <c r="AS17" s="17" t="n"/>
      <c r="AT17" s="17" t="n"/>
      <c r="AU17" s="17" t="n"/>
      <c r="AV17" s="17" t="n"/>
      <c r="AW17" s="17" t="n"/>
      <c r="AX17" s="17" t="n"/>
      <c r="AY17" s="17" t="n"/>
      <c r="AZ17" s="17" t="n"/>
      <c r="BA17" s="17" t="n"/>
      <c r="BB17" s="22">
        <f>'Totals'!$B$13</f>
        <v/>
      </c>
      <c r="BC17" s="17" t="n"/>
      <c r="BD17" s="17" t="n"/>
      <c r="BE17" s="17" t="n"/>
      <c r="BF17" s="17" t="n"/>
      <c r="BG17" s="17" t="n"/>
      <c r="BH17" s="17" t="n"/>
      <c r="BI17" s="17" t="n"/>
      <c r="BJ17" s="17" t="n"/>
    </row>
    <row r="18" ht="18" customHeight="1">
      <c r="A18" s="13">
        <f>HYPERLINK("#'Stories'!A1","Stories")</f>
        <v/>
      </c>
      <c r="B18" s="14" t="n"/>
      <c r="C18" s="14" t="n"/>
      <c r="D18" s="14" t="n"/>
      <c r="E18" s="14" t="n"/>
      <c r="F18" s="14" t="n"/>
      <c r="H18" s="5" t="n"/>
      <c r="I18" s="5" t="n"/>
      <c r="J18" s="5" t="n"/>
      <c r="K18" s="5" t="n"/>
      <c r="L18" s="5" t="n"/>
      <c r="M18" s="5" t="n"/>
      <c r="N18" s="5" t="n"/>
      <c r="O18" s="5" t="n"/>
      <c r="Q18" s="5" t="n"/>
      <c r="R18" s="5" t="n"/>
      <c r="S18" s="5" t="n"/>
      <c r="T18" s="5" t="n"/>
      <c r="U18" s="5" t="n"/>
      <c r="V18" s="5" t="n"/>
      <c r="W18" s="5" t="n"/>
      <c r="X18" s="5" t="n"/>
      <c r="Z18" s="5" t="n"/>
      <c r="AA18" s="5" t="n"/>
      <c r="AB18" s="5" t="n"/>
      <c r="AC18" s="5" t="n"/>
      <c r="AD18" s="5" t="n"/>
      <c r="AE18" s="5" t="n"/>
      <c r="AF18" s="5" t="n"/>
      <c r="AG18" s="5" t="n"/>
      <c r="AI18" s="5" t="n"/>
      <c r="AJ18" s="5" t="n"/>
      <c r="AK18" s="5" t="n"/>
      <c r="AL18" s="5" t="n"/>
      <c r="AM18" s="5" t="n"/>
      <c r="AN18" s="5" t="n"/>
      <c r="AO18" s="5" t="n"/>
      <c r="AP18" s="5" t="n"/>
      <c r="AR18" s="10" t="inlineStr">
        <is>
          <t>Portfolio effort score</t>
        </is>
      </c>
      <c r="AS18" s="11" t="n"/>
      <c r="AT18" s="11" t="n"/>
      <c r="AU18" s="11" t="n"/>
      <c r="AV18" s="11" t="n"/>
      <c r="AW18" s="11" t="n"/>
      <c r="AX18" s="11" t="n"/>
      <c r="AY18" s="11" t="n"/>
      <c r="AZ18" s="11" t="n"/>
      <c r="BA18" s="11" t="n"/>
      <c r="BB18" s="21">
        <f>'Totals'!$B$16</f>
        <v/>
      </c>
      <c r="BC18" s="11" t="n"/>
      <c r="BD18" s="11" t="n"/>
      <c r="BE18" s="11" t="n"/>
      <c r="BF18" s="11" t="n"/>
      <c r="BG18" s="11" t="n"/>
      <c r="BH18" s="11" t="n"/>
      <c r="BI18" s="11" t="n"/>
      <c r="BJ18" s="11" t="n"/>
    </row>
    <row r="19" ht="18" customHeight="1">
      <c r="A19" s="13">
        <f>HYPERLINK("#'LoadScript'!A1","Load Script")</f>
        <v/>
      </c>
      <c r="B19" s="14" t="n"/>
      <c r="C19" s="14" t="n"/>
      <c r="D19" s="14" t="n"/>
      <c r="E19" s="14" t="n"/>
      <c r="F19" s="14" t="n"/>
      <c r="H19" s="15" t="inlineStr">
        <is>
          <t>LOAD SCRIPT TABS</t>
        </is>
      </c>
      <c r="I19" s="5" t="n"/>
      <c r="J19" s="5" t="n"/>
      <c r="K19" s="5" t="n"/>
      <c r="L19" s="5" t="n"/>
      <c r="M19" s="5" t="n"/>
      <c r="N19" s="5" t="n"/>
      <c r="O19" s="5" t="n"/>
      <c r="Q19" s="15" t="inlineStr">
        <is>
          <t>LOAD STATEMENTS</t>
        </is>
      </c>
      <c r="R19" s="5" t="n"/>
      <c r="S19" s="5" t="n"/>
      <c r="T19" s="5" t="n"/>
      <c r="U19" s="5" t="n"/>
      <c r="V19" s="5" t="n"/>
      <c r="W19" s="5" t="n"/>
      <c r="X19" s="5" t="n"/>
      <c r="Z19" s="15" t="inlineStr">
        <is>
          <t>DISTINCT EXTERNAL SOURCES</t>
        </is>
      </c>
      <c r="AA19" s="5" t="n"/>
      <c r="AB19" s="5" t="n"/>
      <c r="AC19" s="5" t="n"/>
      <c r="AD19" s="5" t="n"/>
      <c r="AE19" s="5" t="n"/>
      <c r="AF19" s="5" t="n"/>
      <c r="AG19" s="5" t="n"/>
      <c r="AI19" s="15" t="inlineStr">
        <is>
          <t>DATA ROWS STORED</t>
        </is>
      </c>
      <c r="AJ19" s="5" t="n"/>
      <c r="AK19" s="5" t="n"/>
      <c r="AL19" s="5" t="n"/>
      <c r="AM19" s="5" t="n"/>
      <c r="AN19" s="5" t="n"/>
      <c r="AO19" s="5" t="n"/>
      <c r="AP19" s="5" t="n"/>
      <c r="AR19" s="16" t="inlineStr">
        <is>
          <t>Bookmarks</t>
        </is>
      </c>
      <c r="AS19" s="17" t="n"/>
      <c r="AT19" s="17" t="n"/>
      <c r="AU19" s="17" t="n"/>
      <c r="AV19" s="17" t="n"/>
      <c r="AW19" s="17" t="n"/>
      <c r="AX19" s="17" t="n"/>
      <c r="AY19" s="17" t="n"/>
      <c r="AZ19" s="17" t="n"/>
      <c r="BA19" s="17" t="n"/>
      <c r="BB19" s="20">
        <f>'Totals'!$B$24</f>
        <v/>
      </c>
      <c r="BC19" s="17" t="n"/>
      <c r="BD19" s="17" t="n"/>
      <c r="BE19" s="17" t="n"/>
      <c r="BF19" s="17" t="n"/>
      <c r="BG19" s="17" t="n"/>
      <c r="BH19" s="17" t="n"/>
      <c r="BI19" s="17" t="n"/>
      <c r="BJ19" s="17" t="n"/>
    </row>
    <row r="20" ht="18" customHeight="1">
      <c r="A20" s="13">
        <f>HYPERLINK("#'DataSources'!A1","Data Sources")</f>
        <v/>
      </c>
      <c r="B20" s="14" t="n"/>
      <c r="C20" s="14" t="n"/>
      <c r="D20" s="14" t="n"/>
      <c r="E20" s="14" t="n"/>
      <c r="F20" s="14" t="n"/>
      <c r="H20" s="19" t="n"/>
      <c r="I20" s="19" t="n"/>
      <c r="J20" s="19" t="n"/>
      <c r="K20" s="19" t="n"/>
      <c r="L20" s="19" t="n"/>
      <c r="M20" s="19" t="n"/>
      <c r="N20" s="19" t="n"/>
      <c r="O20" s="19" t="n"/>
      <c r="Q20" s="19" t="n"/>
      <c r="R20" s="19" t="n"/>
      <c r="S20" s="19" t="n"/>
      <c r="T20" s="19" t="n"/>
      <c r="U20" s="19" t="n"/>
      <c r="V20" s="19" t="n"/>
      <c r="W20" s="19" t="n"/>
      <c r="X20" s="19" t="n"/>
      <c r="Z20" s="19" t="n"/>
      <c r="AA20" s="19" t="n"/>
      <c r="AB20" s="19" t="n"/>
      <c r="AC20" s="19" t="n"/>
      <c r="AD20" s="19" t="n"/>
      <c r="AE20" s="19" t="n"/>
      <c r="AF20" s="19" t="n"/>
      <c r="AG20" s="19" t="n"/>
      <c r="AI20" s="19" t="n"/>
      <c r="AJ20" s="19" t="n"/>
      <c r="AK20" s="19" t="n"/>
      <c r="AL20" s="19" t="n"/>
      <c r="AM20" s="19" t="n"/>
      <c r="AN20" s="19" t="n"/>
      <c r="AO20" s="19" t="n"/>
      <c r="AP20" s="19" t="n"/>
      <c r="AR20" s="10" t="inlineStr">
        <is>
          <t>Stories</t>
        </is>
      </c>
      <c r="AS20" s="11" t="n"/>
      <c r="AT20" s="11" t="n"/>
      <c r="AU20" s="11" t="n"/>
      <c r="AV20" s="11" t="n"/>
      <c r="AW20" s="11" t="n"/>
      <c r="AX20" s="11" t="n"/>
      <c r="AY20" s="11" t="n"/>
      <c r="AZ20" s="11" t="n"/>
      <c r="BA20" s="11" t="n"/>
      <c r="BB20" s="21">
        <f>'Totals'!$B$25</f>
        <v/>
      </c>
      <c r="BC20" s="11" t="n"/>
      <c r="BD20" s="11" t="n"/>
      <c r="BE20" s="11" t="n"/>
      <c r="BF20" s="11" t="n"/>
      <c r="BG20" s="11" t="n"/>
      <c r="BH20" s="11" t="n"/>
      <c r="BI20" s="11" t="n"/>
      <c r="BJ20" s="11" t="n"/>
    </row>
    <row r="21" ht="18" customHeight="1">
      <c r="A21" s="13">
        <f>HYPERLINK("#'DataTables'!A1","Data Tables")</f>
        <v/>
      </c>
      <c r="B21" s="14" t="n"/>
      <c r="C21" s="14" t="n"/>
      <c r="D21" s="14" t="n"/>
      <c r="E21" s="14" t="n"/>
      <c r="F21" s="14" t="n"/>
      <c r="AR21" s="16" t="inlineStr">
        <is>
          <t>Legacy QlikView objects</t>
        </is>
      </c>
      <c r="AS21" s="17" t="n"/>
      <c r="AT21" s="17" t="n"/>
      <c r="AU21" s="17" t="n"/>
      <c r="AV21" s="17" t="n"/>
      <c r="AW21" s="17" t="n"/>
      <c r="AX21" s="17" t="n"/>
      <c r="AY21" s="17" t="n"/>
      <c r="AZ21" s="17" t="n"/>
      <c r="BA21" s="17" t="n"/>
      <c r="BB21" s="20">
        <f>'Totals'!$B$51</f>
        <v/>
      </c>
      <c r="BC21" s="17" t="n"/>
      <c r="BD21" s="17" t="n"/>
      <c r="BE21" s="17" t="n"/>
      <c r="BF21" s="17" t="n"/>
      <c r="BG21" s="17" t="n"/>
      <c r="BH21" s="17" t="n"/>
      <c r="BI21" s="17" t="n"/>
      <c r="BJ21" s="17" t="n"/>
    </row>
    <row r="22" ht="18" customHeight="1">
      <c r="A22" s="13">
        <f>HYPERLINK("#'Fields'!A1","Fields")</f>
        <v/>
      </c>
      <c r="B22" s="14" t="n"/>
      <c r="C22" s="14" t="n"/>
      <c r="D22" s="14" t="n"/>
      <c r="E22" s="14" t="n"/>
      <c r="F22" s="14" t="n"/>
      <c r="H22" s="24">
        <f>'Totals'!$B$13</f>
        <v/>
      </c>
      <c r="I22" s="25" t="n"/>
      <c r="J22" s="25" t="n"/>
      <c r="K22" s="25" t="n"/>
      <c r="L22" s="25" t="n"/>
      <c r="M22" s="25" t="n"/>
      <c r="N22" s="25" t="n"/>
      <c r="O22" s="25" t="n"/>
      <c r="Q22" s="24">
        <f>'Totals'!$B$33</f>
        <v/>
      </c>
      <c r="R22" s="25" t="n"/>
      <c r="S22" s="25" t="n"/>
      <c r="T22" s="25" t="n"/>
      <c r="U22" s="25" t="n"/>
      <c r="V22" s="25" t="n"/>
      <c r="W22" s="25" t="n"/>
      <c r="X22" s="25" t="n"/>
      <c r="Z22" s="24">
        <f>'Totals'!$B$34</f>
        <v/>
      </c>
      <c r="AA22" s="25" t="n"/>
      <c r="AB22" s="25" t="n"/>
      <c r="AC22" s="25" t="n"/>
      <c r="AD22" s="25" t="n"/>
      <c r="AE22" s="25" t="n"/>
      <c r="AF22" s="25" t="n"/>
      <c r="AG22" s="25" t="n"/>
      <c r="AI22" s="24">
        <f>'Totals'!$B$56</f>
        <v/>
      </c>
      <c r="AJ22" s="25" t="n"/>
      <c r="AK22" s="25" t="n"/>
      <c r="AL22" s="25" t="n"/>
      <c r="AM22" s="25" t="n"/>
      <c r="AN22" s="25" t="n"/>
      <c r="AO22" s="25" t="n"/>
      <c r="AP22" s="25" t="n"/>
      <c r="AR22" s="10" t="inlineStr">
        <is>
          <t>Discovered by</t>
        </is>
      </c>
      <c r="AS22" s="11" t="n"/>
      <c r="AT22" s="11" t="n"/>
      <c r="AU22" s="11" t="n"/>
      <c r="AV22" s="11" t="n"/>
      <c r="AW22" s="11" t="n"/>
      <c r="AX22" s="11" t="n"/>
      <c r="AY22" s="11" t="n"/>
      <c r="AZ22" s="11" t="n"/>
      <c r="BA22" s="11" t="n"/>
      <c r="BB22" s="12" t="inlineStr">
        <is>
          <t>qvf-app + Kanerika discovery</t>
        </is>
      </c>
      <c r="BC22" s="11" t="n"/>
      <c r="BD22" s="11" t="n"/>
      <c r="BE22" s="11" t="n"/>
      <c r="BF22" s="11" t="n"/>
      <c r="BG22" s="11" t="n"/>
      <c r="BH22" s="11" t="n"/>
      <c r="BI22" s="11" t="n"/>
      <c r="BJ22" s="11" t="n"/>
    </row>
    <row r="23" ht="18" customHeight="1">
      <c r="A23" s="13">
        <f>HYPERLINK("#'LegacyObjects'!A1","Legacy Objects")</f>
        <v/>
      </c>
      <c r="B23" s="14" t="n"/>
      <c r="C23" s="14" t="n"/>
      <c r="D23" s="14" t="n"/>
      <c r="E23" s="14" t="n"/>
      <c r="F23" s="14" t="n"/>
      <c r="H23" s="25" t="n"/>
      <c r="I23" s="25" t="n"/>
      <c r="J23" s="25" t="n"/>
      <c r="K23" s="25" t="n"/>
      <c r="L23" s="25" t="n"/>
      <c r="M23" s="25" t="n"/>
      <c r="N23" s="25" t="n"/>
      <c r="O23" s="25" t="n"/>
      <c r="Q23" s="25" t="n"/>
      <c r="R23" s="25" t="n"/>
      <c r="S23" s="25" t="n"/>
      <c r="T23" s="25" t="n"/>
      <c r="U23" s="25" t="n"/>
      <c r="V23" s="25" t="n"/>
      <c r="W23" s="25" t="n"/>
      <c r="X23" s="25" t="n"/>
      <c r="Z23" s="25" t="n"/>
      <c r="AA23" s="25" t="n"/>
      <c r="AB23" s="25" t="n"/>
      <c r="AC23" s="25" t="n"/>
      <c r="AD23" s="25" t="n"/>
      <c r="AE23" s="25" t="n"/>
      <c r="AF23" s="25" t="n"/>
      <c r="AG23" s="25" t="n"/>
      <c r="AI23" s="25" t="n"/>
      <c r="AJ23" s="25" t="n"/>
      <c r="AK23" s="25" t="n"/>
      <c r="AL23" s="25" t="n"/>
      <c r="AM23" s="25" t="n"/>
      <c r="AN23" s="25" t="n"/>
      <c r="AO23" s="25" t="n"/>
      <c r="AP23" s="25" t="n"/>
      <c r="AR23" s="16" t="inlineStr">
        <is>
          <t>Generated</t>
        </is>
      </c>
      <c r="AS23" s="17" t="n"/>
      <c r="AT23" s="17" t="n"/>
      <c r="AU23" s="17" t="n"/>
      <c r="AV23" s="17" t="n"/>
      <c r="AW23" s="17" t="n"/>
      <c r="AX23" s="17" t="n"/>
      <c r="AY23" s="17" t="n"/>
      <c r="AZ23" s="17" t="n"/>
      <c r="BA23" s="17" t="n"/>
      <c r="BB23" s="18" t="inlineStr">
        <is>
          <t>2026-10-08 21:41</t>
        </is>
      </c>
      <c r="BC23" s="17" t="n"/>
      <c r="BD23" s="17" t="n"/>
      <c r="BE23" s="17" t="n"/>
      <c r="BF23" s="17" t="n"/>
      <c r="BG23" s="17" t="n"/>
      <c r="BH23" s="17" t="n"/>
      <c r="BI23" s="17" t="n"/>
      <c r="BJ23" s="17" t="n"/>
    </row>
    <row r="24" ht="18" customHeight="1">
      <c r="A24" s="13">
        <f>HYPERLINK("#'ExpressionFunctions'!A1","Functions")</f>
        <v/>
      </c>
      <c r="B24" s="14" t="n"/>
      <c r="C24" s="14" t="n"/>
      <c r="D24" s="14" t="n"/>
      <c r="E24" s="14" t="n"/>
      <c r="F24" s="14" t="n"/>
      <c r="H24" s="26" t="inlineStr">
        <is>
          <t>HIGH-COMPLEXITY APPS</t>
        </is>
      </c>
      <c r="I24" s="25" t="n"/>
      <c r="J24" s="25" t="n"/>
      <c r="K24" s="25" t="n"/>
      <c r="L24" s="25" t="n"/>
      <c r="M24" s="25" t="n"/>
      <c r="N24" s="25" t="n"/>
      <c r="O24" s="25" t="n"/>
      <c r="Q24" s="26" t="inlineStr">
        <is>
          <t>HIGH-COMPLEXITY MEASURES</t>
        </is>
      </c>
      <c r="R24" s="25" t="n"/>
      <c r="S24" s="25" t="n"/>
      <c r="T24" s="25" t="n"/>
      <c r="U24" s="25" t="n"/>
      <c r="V24" s="25" t="n"/>
      <c r="W24" s="25" t="n"/>
      <c r="X24" s="25" t="n"/>
      <c r="Z24" s="26" t="inlineStr">
        <is>
          <t>UNUSED MASTER MEASURES</t>
        </is>
      </c>
      <c r="AA24" s="25" t="n"/>
      <c r="AB24" s="25" t="n"/>
      <c r="AC24" s="25" t="n"/>
      <c r="AD24" s="25" t="n"/>
      <c r="AE24" s="25" t="n"/>
      <c r="AF24" s="25" t="n"/>
      <c r="AG24" s="25" t="n"/>
      <c r="AI24" s="26" t="inlineStr">
        <is>
          <t>PARSER WARNINGS</t>
        </is>
      </c>
      <c r="AJ24" s="25" t="n"/>
      <c r="AK24" s="25" t="n"/>
      <c r="AL24" s="25" t="n"/>
      <c r="AM24" s="25" t="n"/>
      <c r="AN24" s="25" t="n"/>
      <c r="AO24" s="25" t="n"/>
      <c r="AP24" s="25" t="n"/>
    </row>
    <row r="25" ht="18" customHeight="1">
      <c r="A25" s="13">
        <f>HYPERLINK("#'Media'!A1","Media")</f>
        <v/>
      </c>
      <c r="B25" s="14" t="n"/>
      <c r="C25" s="14" t="n"/>
      <c r="D25" s="14" t="n"/>
      <c r="E25" s="14" t="n"/>
      <c r="F25" s="14" t="n"/>
      <c r="H25" s="27" t="n"/>
      <c r="I25" s="27" t="n"/>
      <c r="J25" s="27" t="n"/>
      <c r="K25" s="27" t="n"/>
      <c r="L25" s="27" t="n"/>
      <c r="M25" s="27" t="n"/>
      <c r="N25" s="27" t="n"/>
      <c r="O25" s="27" t="n"/>
      <c r="Q25" s="27" t="n"/>
      <c r="R25" s="27" t="n"/>
      <c r="S25" s="27" t="n"/>
      <c r="T25" s="27" t="n"/>
      <c r="U25" s="27" t="n"/>
      <c r="V25" s="27" t="n"/>
      <c r="W25" s="27" t="n"/>
      <c r="X25" s="27" t="n"/>
      <c r="Z25" s="27" t="n"/>
      <c r="AA25" s="27" t="n"/>
      <c r="AB25" s="27" t="n"/>
      <c r="AC25" s="27" t="n"/>
      <c r="AD25" s="27" t="n"/>
      <c r="AE25" s="27" t="n"/>
      <c r="AF25" s="27" t="n"/>
      <c r="AG25" s="27" t="n"/>
      <c r="AI25" s="27" t="n"/>
      <c r="AJ25" s="27" t="n"/>
      <c r="AK25" s="27" t="n"/>
      <c r="AL25" s="27" t="n"/>
      <c r="AM25" s="27" t="n"/>
      <c r="AN25" s="27" t="n"/>
      <c r="AO25" s="27" t="n"/>
      <c r="AP25" s="27" t="n"/>
    </row>
    <row r="26" ht="18" customHeight="1">
      <c r="A26" s="13">
        <f>HYPERLINK("#'StoredObjects'!A1","Stored Objects")</f>
        <v/>
      </c>
      <c r="B26" s="14" t="n"/>
      <c r="C26" s="14" t="n"/>
      <c r="D26" s="14" t="n"/>
      <c r="E26" s="14" t="n"/>
      <c r="F26" s="14" t="n"/>
    </row>
    <row r="27" ht="18" customHeight="1">
      <c r="A27" s="13">
        <f>HYPERLINK("#'Warnings'!A1","Warnings")</f>
        <v/>
      </c>
      <c r="B27" s="14" t="n"/>
      <c r="C27" s="14" t="n"/>
      <c r="D27" s="14" t="n"/>
      <c r="E27" s="14" t="n"/>
      <c r="F27" s="14" t="n"/>
    </row>
    <row r="28" ht="18" customHeight="1">
      <c r="A28" s="13">
        <f>HYPERLINK("#'Information'!A1","Information")</f>
        <v/>
      </c>
      <c r="B28" s="14" t="n"/>
      <c r="C28" s="14" t="n"/>
      <c r="D28" s="14" t="n"/>
      <c r="E28" s="14" t="n"/>
      <c r="F28" s="14" t="n"/>
      <c r="H28" s="28" t="inlineStr">
        <is>
          <t>AT A GLANCE</t>
        </is>
      </c>
    </row>
    <row r="29" ht="18" customHeight="1">
      <c r="A29" s="13">
        <f>HYPERLINK("#'Totals'!A1","Totals")</f>
        <v/>
      </c>
      <c r="B29" s="14" t="n"/>
      <c r="C29" s="14" t="n"/>
      <c r="D29" s="14" t="n"/>
      <c r="E29" s="14" t="n"/>
      <c r="F29" s="14" t="n"/>
    </row>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sheetData>
  <mergeCells count="90">
    <mergeCell ref="BB20:BJ20"/>
    <mergeCell ref="BB14:BJ14"/>
    <mergeCell ref="BB23:BJ23"/>
    <mergeCell ref="AR17:BA17"/>
    <mergeCell ref="AR11:BA11"/>
    <mergeCell ref="Q17:X18"/>
    <mergeCell ref="AI12:AP13"/>
    <mergeCell ref="H24:O25"/>
    <mergeCell ref="A20:F20"/>
    <mergeCell ref="A29:F29"/>
    <mergeCell ref="AI14:AP15"/>
    <mergeCell ref="A13:F13"/>
    <mergeCell ref="Q12:X13"/>
    <mergeCell ref="AR23:BA23"/>
    <mergeCell ref="A15:F15"/>
    <mergeCell ref="A24:F24"/>
    <mergeCell ref="BB16:BJ16"/>
    <mergeCell ref="Q14:X15"/>
    <mergeCell ref="BB18:BJ18"/>
    <mergeCell ref="A7:F7"/>
    <mergeCell ref="BB8:BJ8"/>
    <mergeCell ref="A16:F16"/>
    <mergeCell ref="H22:O23"/>
    <mergeCell ref="A27:F27"/>
    <mergeCell ref="A18:F18"/>
    <mergeCell ref="H19:O20"/>
    <mergeCell ref="Z14:AG15"/>
    <mergeCell ref="AR20:BA20"/>
    <mergeCell ref="H12:O13"/>
    <mergeCell ref="AR22:BA22"/>
    <mergeCell ref="A22:F22"/>
    <mergeCell ref="AI17:AP18"/>
    <mergeCell ref="BB22:BJ22"/>
    <mergeCell ref="H14:O15"/>
    <mergeCell ref="BB21:BJ21"/>
    <mergeCell ref="A28:F28"/>
    <mergeCell ref="AR9:BA9"/>
    <mergeCell ref="A9:F9"/>
    <mergeCell ref="AR14:BA14"/>
    <mergeCell ref="BB13:BJ13"/>
    <mergeCell ref="A11:F11"/>
    <mergeCell ref="L2:BB3"/>
    <mergeCell ref="Q22:X23"/>
    <mergeCell ref="H17:O18"/>
    <mergeCell ref="Q19:X20"/>
    <mergeCell ref="Z17:AG18"/>
    <mergeCell ref="AI7:AP8"/>
    <mergeCell ref="A26:F26"/>
    <mergeCell ref="Z19:AG20"/>
    <mergeCell ref="A8:F8"/>
    <mergeCell ref="A17:F17"/>
    <mergeCell ref="BB9:BJ9"/>
    <mergeCell ref="Q7:X8"/>
    <mergeCell ref="AR18:BA18"/>
    <mergeCell ref="A10:F10"/>
    <mergeCell ref="BB17:BJ17"/>
    <mergeCell ref="A19:F19"/>
    <mergeCell ref="BB11:BJ11"/>
    <mergeCell ref="Q24:X25"/>
    <mergeCell ref="AI19:AP20"/>
    <mergeCell ref="AI9:AP10"/>
    <mergeCell ref="BB12:BJ12"/>
    <mergeCell ref="Z7:AG8"/>
    <mergeCell ref="AR13:BA13"/>
    <mergeCell ref="AI24:AP25"/>
    <mergeCell ref="Z22:AG23"/>
    <mergeCell ref="AR15:BA15"/>
    <mergeCell ref="Q9:X10"/>
    <mergeCell ref="BB15:BJ15"/>
    <mergeCell ref="H7:O8"/>
    <mergeCell ref="AI22:AP23"/>
    <mergeCell ref="AR12:BA12"/>
    <mergeCell ref="A12:F12"/>
    <mergeCell ref="AR21:BA21"/>
    <mergeCell ref="A21:F21"/>
    <mergeCell ref="A14:F14"/>
    <mergeCell ref="BB10:BJ10"/>
    <mergeCell ref="A23:F23"/>
    <mergeCell ref="AR7:BJ7"/>
    <mergeCell ref="Z9:AG10"/>
    <mergeCell ref="H28:AN28"/>
    <mergeCell ref="Z24:AG25"/>
    <mergeCell ref="AR8:BA8"/>
    <mergeCell ref="H9:O10"/>
    <mergeCell ref="AR10:BA10"/>
    <mergeCell ref="AR19:BA19"/>
    <mergeCell ref="BB19:BJ19"/>
    <mergeCell ref="Z12:AG13"/>
    <mergeCell ref="AR16:BA16"/>
    <mergeCell ref="A25:F25"/>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2C4650"/>
    <outlinePr summaryBelow="1" summaryRight="1"/>
    <pageSetUpPr fitToPage="1"/>
  </sheetPr>
  <dimension ref="A2:AE14"/>
  <sheetViews>
    <sheetView showGridLines="0" workbookViewId="0">
      <pane ySplit="6" topLeftCell="A7" activePane="bottomLeft" state="frozen"/>
      <selection pane="bottomLeft" activeCell="A1" sqref="A1"/>
    </sheetView>
  </sheetViews>
  <sheetFormatPr baseColWidth="8" defaultRowHeight="15"/>
  <cols>
    <col width="30" customWidth="1" min="1" max="1"/>
    <col width="30" customWidth="1" min="2" max="2"/>
    <col width="40" customWidth="1" min="3" max="3"/>
    <col width="10" customWidth="1" min="4" max="4"/>
    <col width="16" customWidth="1" min="5" max="5"/>
    <col width="13" customWidth="1" min="6" max="6"/>
    <col width="19" customWidth="1" min="7" max="7"/>
    <col width="11" customWidth="1" min="8" max="8"/>
    <col width="9" customWidth="1" min="9" max="9"/>
    <col width="13" customWidth="1" min="10" max="10"/>
    <col width="12" customWidth="1" min="11" max="11"/>
    <col width="10" customWidth="1" min="12" max="12"/>
    <col width="9" customWidth="1" min="13" max="13"/>
    <col width="13" customWidth="1" min="14" max="14"/>
    <col width="12" customWidth="1" min="15" max="15"/>
    <col width="10" customWidth="1" min="16" max="16"/>
    <col width="13" customWidth="1" min="17" max="17"/>
    <col width="10" customWidth="1" min="18" max="18"/>
    <col width="12" customWidth="1" min="19" max="19"/>
    <col width="10" customWidth="1" min="20" max="20"/>
    <col width="8" customWidth="1" min="21" max="21"/>
    <col width="9" customWidth="1" min="22" max="22"/>
    <col width="11" customWidth="1" min="23" max="23"/>
    <col width="12" customWidth="1" min="24" max="24"/>
    <col width="9" customWidth="1" min="25" max="25"/>
    <col width="12" customWidth="1" min="26" max="26"/>
    <col width="8" customWidth="1" min="27" max="27"/>
    <col width="10" customWidth="1" min="28" max="28"/>
    <col width="10" customWidth="1" min="29" max="29"/>
    <col width="11" customWidth="1" min="30" max="30"/>
    <col width="12" customWidth="1" min="31" max="31"/>
  </cols>
  <sheetData>
    <row r="1" ht="24" customHeight="1"/>
    <row r="2" ht="24" customHeight="1">
      <c r="C2" s="1" t="inlineStr">
        <is>
          <t>Apps  ·  one row per Qlik app</t>
        </is>
      </c>
    </row>
    <row r="3" ht="20" customHeight="1"/>
    <row r="4" ht="10" customHeight="1"/>
    <row r="5" ht="18" customHeight="1">
      <c r="A5" s="29">
        <f>HYPERLINK("#'Discovery'!A1","«  Back to Discovery")</f>
        <v/>
      </c>
      <c r="B5" s="30" t="inlineStr">
        <is>
          <t>One row per app: file, status, every count, effort score and migration complexity (all formulas).</t>
        </is>
      </c>
    </row>
    <row r="6" ht="30" customHeight="1">
      <c r="A6" s="31" t="inlineStr">
        <is>
          <t>App</t>
        </is>
      </c>
      <c r="B6" s="31" t="inlineStr">
        <is>
          <t>App title</t>
        </is>
      </c>
      <c r="C6" s="31" t="inlineStr">
        <is>
          <t>File</t>
        </is>
      </c>
      <c r="D6" s="31" t="inlineStr">
        <is>
          <t>Size (MB)</t>
        </is>
      </c>
      <c r="E6" s="31" t="inlineStr">
        <is>
          <t>Status</t>
        </is>
      </c>
      <c r="F6" s="31" t="inlineStr">
        <is>
          <t>Qlik version</t>
        </is>
      </c>
      <c r="G6" s="31" t="inlineStr">
        <is>
          <t>Last reload</t>
        </is>
      </c>
      <c r="H6" s="31" t="inlineStr">
        <is>
          <t>Data stored</t>
        </is>
      </c>
      <c r="I6" s="31" t="inlineStr">
        <is>
          <t>Sheets</t>
        </is>
      </c>
      <c r="J6" s="31" t="inlineStr">
        <is>
          <t>Visualizations</t>
        </is>
      </c>
      <c r="K6" s="31" t="inlineStr">
        <is>
          <t>Master measures</t>
        </is>
      </c>
      <c r="L6" s="31" t="inlineStr">
        <is>
          <t>Set analysis</t>
        </is>
      </c>
      <c r="M6" s="31" t="inlineStr">
        <is>
          <t>Aggr()</t>
        </is>
      </c>
      <c r="N6" s="31" t="inlineStr">
        <is>
          <t>High-complexity measures</t>
        </is>
      </c>
      <c r="O6" s="31" t="inlineStr">
        <is>
          <t>Master dimensions</t>
        </is>
      </c>
      <c r="P6" s="31" t="inlineStr">
        <is>
          <t>Drill-down</t>
        </is>
      </c>
      <c r="Q6" s="31" t="inlineStr">
        <is>
          <t>Master visualizations</t>
        </is>
      </c>
      <c r="R6" s="31" t="inlineStr">
        <is>
          <t>Variables</t>
        </is>
      </c>
      <c r="S6" s="31" t="inlineStr">
        <is>
          <t>Expression variables</t>
        </is>
      </c>
      <c r="T6" s="31" t="inlineStr">
        <is>
          <t>Bookmarks</t>
        </is>
      </c>
      <c r="U6" s="31" t="inlineStr">
        <is>
          <t>Stories</t>
        </is>
      </c>
      <c r="V6" s="31" t="inlineStr">
        <is>
          <t>Script tabs</t>
        </is>
      </c>
      <c r="W6" s="31" t="inlineStr">
        <is>
          <t>LOAD statements</t>
        </is>
      </c>
      <c r="X6" s="31" t="inlineStr">
        <is>
          <t>Distinct external sources</t>
        </is>
      </c>
      <c r="Y6" s="31" t="inlineStr">
        <is>
          <t>Data tables</t>
        </is>
      </c>
      <c r="Z6" s="31" t="inlineStr">
        <is>
          <t>Data rows</t>
        </is>
      </c>
      <c r="AA6" s="31" t="inlineStr">
        <is>
          <t>Fields</t>
        </is>
      </c>
      <c r="AB6" s="31" t="inlineStr">
        <is>
          <t>Legacy objects</t>
        </is>
      </c>
      <c r="AC6" s="31" t="inlineStr">
        <is>
          <t>Warnings</t>
        </is>
      </c>
      <c r="AD6" s="31" t="inlineStr">
        <is>
          <t>Effort score</t>
        </is>
      </c>
      <c r="AE6" s="31" t="inlineStr">
        <is>
          <t>Complexity</t>
        </is>
      </c>
    </row>
    <row r="7">
      <c r="A7" s="32" t="inlineStr">
        <is>
          <t>Executive Dashboard</t>
        </is>
      </c>
      <c r="B7" s="32" t="inlineStr">
        <is>
          <t>Executive Dashboard</t>
        </is>
      </c>
      <c r="C7" s="32" t="inlineStr">
        <is>
          <t>Executive Dashboard.qvf</t>
        </is>
      </c>
      <c r="D7" s="33" t="n">
        <v>2.75</v>
      </c>
      <c r="E7" s="32" t="inlineStr">
        <is>
          <t>Parsed</t>
        </is>
      </c>
      <c r="F7" s="32" t="inlineStr">
        <is>
          <t>2.1.1</t>
        </is>
      </c>
      <c r="G7" s="32" t="inlineStr">
        <is>
          <t>2014-06-27 15:51:29</t>
        </is>
      </c>
      <c r="H7" s="32" t="inlineStr">
        <is>
          <t>Yes</t>
        </is>
      </c>
      <c r="I7" s="34">
        <f>COUNTIF('Sheets'!$A$7:$A$100000,$A7)</f>
        <v/>
      </c>
      <c r="J7" s="34">
        <f>COUNTIF('Visualizations'!$A$7:$A$100000,$A7)</f>
        <v/>
      </c>
      <c r="K7" s="34">
        <f>COUNTIF('MasterMeasures'!$A$7:$A$100000,$A7)</f>
        <v/>
      </c>
      <c r="L7" s="34">
        <f>COUNTIFS('MasterMeasures'!$A$7:$A$100000,$A7,'MasterMeasures'!$G$7:$G$100000,"Yes")</f>
        <v/>
      </c>
      <c r="M7" s="34">
        <f>COUNTIFS('MasterMeasures'!$A$7:$A$100000,$A7,'MasterMeasures'!$H$7:$H$100000,"Yes")</f>
        <v/>
      </c>
      <c r="N7" s="34">
        <f>COUNTIFS('MasterMeasures'!$A$7:$A$100000,$A7,'MasterMeasures'!$K$7:$K$100000,"High")</f>
        <v/>
      </c>
      <c r="O7" s="34">
        <f>COUNTIF('MasterDimensions'!$A$7:$A$100000,$A7)</f>
        <v/>
      </c>
      <c r="P7" s="34">
        <f>COUNTIFS('MasterDimensions'!$A$7:$A$100000,$A7,'MasterDimensions'!$E$7:$E$100000,"Drill-down")</f>
        <v/>
      </c>
      <c r="Q7" s="34">
        <f>COUNTIF('MasterVisualizations'!$A$7:$A$100000,$A7)</f>
        <v/>
      </c>
      <c r="R7" s="34">
        <f>COUNTIF('Variables'!$A$7:$A$100000,$A7)</f>
        <v/>
      </c>
      <c r="S7" s="34">
        <f>COUNTIFS('Variables'!$A$7:$A$100000,$A7,'Variables'!$F$7:$F$100000,"Yes")</f>
        <v/>
      </c>
      <c r="T7" s="34">
        <f>COUNTIF('Bookmarks'!$A$7:$A$100000,$A7)</f>
        <v/>
      </c>
      <c r="U7" s="34">
        <f>COUNTIF('Stories'!$A$7:$A$100000,$A7)</f>
        <v/>
      </c>
      <c r="V7" s="34">
        <f>COUNTIF('LoadScript'!$A$7:$A$100000,$A7)</f>
        <v/>
      </c>
      <c r="W7" s="34">
        <f>SUMIF('LoadScript'!$A$7:$A$100000,$A7,'LoadScript'!$E$7:$E$100000)</f>
        <v/>
      </c>
      <c r="X7" s="34">
        <f>SUMIF('DataSources'!$A$7:$A$100000,$A7,'DataSources'!$F$7:$F$100000)</f>
        <v/>
      </c>
      <c r="Y7" s="34">
        <f>COUNTIF('DataTables'!$A$7:$A$100000,$A7)</f>
        <v/>
      </c>
      <c r="Z7" s="34">
        <f>SUMIF('DataTables'!$A$7:$A$100000,$A7,'DataTables'!$D$7:$D$100000)</f>
        <v/>
      </c>
      <c r="AA7" s="34">
        <f>COUNTIF('Fields'!$A$7:$A$100000,$A7)</f>
        <v/>
      </c>
      <c r="AB7" s="34">
        <f>COUNTIF('LegacyObjects'!$A$7:$A$100000,$A7)</f>
        <v/>
      </c>
      <c r="AC7" s="34">
        <f>COUNTIF('Warnings'!$A$7:$A$100000,$A7)</f>
        <v/>
      </c>
      <c r="AD7" s="35">
        <f>IF($E7="Parsed",I7*'Totals'!$C$77+J7*'Totals'!$C$78+K7*'Totals'!$C$79+L7*'Totals'!$C$80+M7*'Totals'!$C$81+O7*'Totals'!$C$82+P7*'Totals'!$C$83+Q7*'Totals'!$C$84+S7*'Totals'!$C$85+V7*'Totals'!$C$86+W7*'Totals'!$C$87+X7*'Totals'!$C$88+AB7*'Totals'!$C$89+T7*'Totals'!$C$90+U7*'Totals'!$C$91,0)</f>
        <v/>
      </c>
      <c r="AE7" s="36">
        <f>IF($E7&lt;&gt;"Parsed","-",IF(AD7&gt;='Totals'!$C$94,"High",IF(AD7&gt;='Totals'!$C$93,"Medium","Low")))</f>
        <v/>
      </c>
    </row>
    <row r="8">
      <c r="A8" s="37" t="inlineStr">
        <is>
          <t>First Qlikview Report</t>
        </is>
      </c>
      <c r="B8" s="37" t="inlineStr">
        <is>
          <t>First Qlikview Report</t>
        </is>
      </c>
      <c r="C8" s="37" t="inlineStr">
        <is>
          <t>First Qlikview Report.qvf</t>
        </is>
      </c>
      <c r="D8" s="38" t="n">
        <v>0.21</v>
      </c>
      <c r="E8" s="37" t="inlineStr">
        <is>
          <t>Parsed</t>
        </is>
      </c>
      <c r="F8" s="37" t="inlineStr">
        <is>
          <t>12.70.20000</t>
        </is>
      </c>
      <c r="G8" s="37" t="inlineStr">
        <is>
          <t>2026-09-24 14:00:48</t>
        </is>
      </c>
      <c r="H8" s="37" t="inlineStr">
        <is>
          <t>Yes</t>
        </is>
      </c>
      <c r="I8" s="39">
        <f>COUNTIF('Sheets'!$A$7:$A$100000,$A8)</f>
        <v/>
      </c>
      <c r="J8" s="39">
        <f>COUNTIF('Visualizations'!$A$7:$A$100000,$A8)</f>
        <v/>
      </c>
      <c r="K8" s="39">
        <f>COUNTIF('MasterMeasures'!$A$7:$A$100000,$A8)</f>
        <v/>
      </c>
      <c r="L8" s="39">
        <f>COUNTIFS('MasterMeasures'!$A$7:$A$100000,$A8,'MasterMeasures'!$G$7:$G$100000,"Yes")</f>
        <v/>
      </c>
      <c r="M8" s="39">
        <f>COUNTIFS('MasterMeasures'!$A$7:$A$100000,$A8,'MasterMeasures'!$H$7:$H$100000,"Yes")</f>
        <v/>
      </c>
      <c r="N8" s="39">
        <f>COUNTIFS('MasterMeasures'!$A$7:$A$100000,$A8,'MasterMeasures'!$K$7:$K$100000,"High")</f>
        <v/>
      </c>
      <c r="O8" s="39">
        <f>COUNTIF('MasterDimensions'!$A$7:$A$100000,$A8)</f>
        <v/>
      </c>
      <c r="P8" s="39">
        <f>COUNTIFS('MasterDimensions'!$A$7:$A$100000,$A8,'MasterDimensions'!$E$7:$E$100000,"Drill-down")</f>
        <v/>
      </c>
      <c r="Q8" s="39">
        <f>COUNTIF('MasterVisualizations'!$A$7:$A$100000,$A8)</f>
        <v/>
      </c>
      <c r="R8" s="39">
        <f>COUNTIF('Variables'!$A$7:$A$100000,$A8)</f>
        <v/>
      </c>
      <c r="S8" s="39">
        <f>COUNTIFS('Variables'!$A$7:$A$100000,$A8,'Variables'!$F$7:$F$100000,"Yes")</f>
        <v/>
      </c>
      <c r="T8" s="39">
        <f>COUNTIF('Bookmarks'!$A$7:$A$100000,$A8)</f>
        <v/>
      </c>
      <c r="U8" s="39">
        <f>COUNTIF('Stories'!$A$7:$A$100000,$A8)</f>
        <v/>
      </c>
      <c r="V8" s="39">
        <f>COUNTIF('LoadScript'!$A$7:$A$100000,$A8)</f>
        <v/>
      </c>
      <c r="W8" s="39">
        <f>SUMIF('LoadScript'!$A$7:$A$100000,$A8,'LoadScript'!$E$7:$E$100000)</f>
        <v/>
      </c>
      <c r="X8" s="39">
        <f>SUMIF('DataSources'!$A$7:$A$100000,$A8,'DataSources'!$F$7:$F$100000)</f>
        <v/>
      </c>
      <c r="Y8" s="39">
        <f>COUNTIF('DataTables'!$A$7:$A$100000,$A8)</f>
        <v/>
      </c>
      <c r="Z8" s="39">
        <f>SUMIF('DataTables'!$A$7:$A$100000,$A8,'DataTables'!$D$7:$D$100000)</f>
        <v/>
      </c>
      <c r="AA8" s="39">
        <f>COUNTIF('Fields'!$A$7:$A$100000,$A8)</f>
        <v/>
      </c>
      <c r="AB8" s="39">
        <f>COUNTIF('LegacyObjects'!$A$7:$A$100000,$A8)</f>
        <v/>
      </c>
      <c r="AC8" s="39">
        <f>COUNTIF('Warnings'!$A$7:$A$100000,$A8)</f>
        <v/>
      </c>
      <c r="AD8" s="40">
        <f>IF($E8="Parsed",I8*'Totals'!$C$77+J8*'Totals'!$C$78+K8*'Totals'!$C$79+L8*'Totals'!$C$80+M8*'Totals'!$C$81+O8*'Totals'!$C$82+P8*'Totals'!$C$83+Q8*'Totals'!$C$84+S8*'Totals'!$C$85+V8*'Totals'!$C$86+W8*'Totals'!$C$87+X8*'Totals'!$C$88+AB8*'Totals'!$C$89+T8*'Totals'!$C$90+U8*'Totals'!$C$91,0)</f>
        <v/>
      </c>
      <c r="AE8" s="41">
        <f>IF($E8&lt;&gt;"Parsed","-",IF(AD8&gt;='Totals'!$C$94,"High",IF(AD8&gt;='Totals'!$C$93,"Medium","Low")))</f>
        <v/>
      </c>
    </row>
    <row r="9">
      <c r="A9" s="32" t="inlineStr">
        <is>
          <t>Helpdesk Management</t>
        </is>
      </c>
      <c r="B9" s="32" t="inlineStr">
        <is>
          <t>Helpdesk Management</t>
        </is>
      </c>
      <c r="C9" s="32" t="inlineStr">
        <is>
          <t>Helpdesk Management.qvf</t>
        </is>
      </c>
      <c r="D9" s="33" t="n">
        <v>1.88</v>
      </c>
      <c r="E9" s="32" t="inlineStr">
        <is>
          <t>Parsed</t>
        </is>
      </c>
      <c r="F9" s="32" t="inlineStr">
        <is>
          <t>2.1.1</t>
        </is>
      </c>
      <c r="G9" s="32" t="inlineStr">
        <is>
          <t>1753-01-01 00:00:00</t>
        </is>
      </c>
      <c r="H9" s="32" t="inlineStr">
        <is>
          <t>Yes</t>
        </is>
      </c>
      <c r="I9" s="34">
        <f>COUNTIF('Sheets'!$A$7:$A$100000,$A9)</f>
        <v/>
      </c>
      <c r="J9" s="34">
        <f>COUNTIF('Visualizations'!$A$7:$A$100000,$A9)</f>
        <v/>
      </c>
      <c r="K9" s="34">
        <f>COUNTIF('MasterMeasures'!$A$7:$A$100000,$A9)</f>
        <v/>
      </c>
      <c r="L9" s="34">
        <f>COUNTIFS('MasterMeasures'!$A$7:$A$100000,$A9,'MasterMeasures'!$G$7:$G$100000,"Yes")</f>
        <v/>
      </c>
      <c r="M9" s="34">
        <f>COUNTIFS('MasterMeasures'!$A$7:$A$100000,$A9,'MasterMeasures'!$H$7:$H$100000,"Yes")</f>
        <v/>
      </c>
      <c r="N9" s="34">
        <f>COUNTIFS('MasterMeasures'!$A$7:$A$100000,$A9,'MasterMeasures'!$K$7:$K$100000,"High")</f>
        <v/>
      </c>
      <c r="O9" s="34">
        <f>COUNTIF('MasterDimensions'!$A$7:$A$100000,$A9)</f>
        <v/>
      </c>
      <c r="P9" s="34">
        <f>COUNTIFS('MasterDimensions'!$A$7:$A$100000,$A9,'MasterDimensions'!$E$7:$E$100000,"Drill-down")</f>
        <v/>
      </c>
      <c r="Q9" s="34">
        <f>COUNTIF('MasterVisualizations'!$A$7:$A$100000,$A9)</f>
        <v/>
      </c>
      <c r="R9" s="34">
        <f>COUNTIF('Variables'!$A$7:$A$100000,$A9)</f>
        <v/>
      </c>
      <c r="S9" s="34">
        <f>COUNTIFS('Variables'!$A$7:$A$100000,$A9,'Variables'!$F$7:$F$100000,"Yes")</f>
        <v/>
      </c>
      <c r="T9" s="34">
        <f>COUNTIF('Bookmarks'!$A$7:$A$100000,$A9)</f>
        <v/>
      </c>
      <c r="U9" s="34">
        <f>COUNTIF('Stories'!$A$7:$A$100000,$A9)</f>
        <v/>
      </c>
      <c r="V9" s="34">
        <f>COUNTIF('LoadScript'!$A$7:$A$100000,$A9)</f>
        <v/>
      </c>
      <c r="W9" s="34">
        <f>SUMIF('LoadScript'!$A$7:$A$100000,$A9,'LoadScript'!$E$7:$E$100000)</f>
        <v/>
      </c>
      <c r="X9" s="34">
        <f>SUMIF('DataSources'!$A$7:$A$100000,$A9,'DataSources'!$F$7:$F$100000)</f>
        <v/>
      </c>
      <c r="Y9" s="34">
        <f>COUNTIF('DataTables'!$A$7:$A$100000,$A9)</f>
        <v/>
      </c>
      <c r="Z9" s="34">
        <f>SUMIF('DataTables'!$A$7:$A$100000,$A9,'DataTables'!$D$7:$D$100000)</f>
        <v/>
      </c>
      <c r="AA9" s="34">
        <f>COUNTIF('Fields'!$A$7:$A$100000,$A9)</f>
        <v/>
      </c>
      <c r="AB9" s="34">
        <f>COUNTIF('LegacyObjects'!$A$7:$A$100000,$A9)</f>
        <v/>
      </c>
      <c r="AC9" s="34">
        <f>COUNTIF('Warnings'!$A$7:$A$100000,$A9)</f>
        <v/>
      </c>
      <c r="AD9" s="35">
        <f>IF($E9="Parsed",I9*'Totals'!$C$77+J9*'Totals'!$C$78+K9*'Totals'!$C$79+L9*'Totals'!$C$80+M9*'Totals'!$C$81+O9*'Totals'!$C$82+P9*'Totals'!$C$83+Q9*'Totals'!$C$84+S9*'Totals'!$C$85+V9*'Totals'!$C$86+W9*'Totals'!$C$87+X9*'Totals'!$C$88+AB9*'Totals'!$C$89+T9*'Totals'!$C$90+U9*'Totals'!$C$91,0)</f>
        <v/>
      </c>
      <c r="AE9" s="36">
        <f>IF($E9&lt;&gt;"Parsed","-",IF(AD9&gt;='Totals'!$C$94,"High",IF(AD9&gt;='Totals'!$C$93,"Medium","Low")))</f>
        <v/>
      </c>
    </row>
    <row r="10">
      <c r="A10" s="37" t="inlineStr">
        <is>
          <t>Sales Analysis</t>
        </is>
      </c>
      <c r="B10" s="37" t="inlineStr">
        <is>
          <t>Sales Analysis</t>
        </is>
      </c>
      <c r="C10" s="37" t="inlineStr">
        <is>
          <t>Sales Analysis.qvf</t>
        </is>
      </c>
      <c r="D10" s="38" t="n">
        <v>0.28</v>
      </c>
      <c r="E10" s="37" t="inlineStr">
        <is>
          <t>Parsed</t>
        </is>
      </c>
      <c r="F10" s="37" t="inlineStr">
        <is>
          <t>2.1.1</t>
        </is>
      </c>
      <c r="G10" s="37" t="inlineStr">
        <is>
          <t>2016-01-24 21:04:00</t>
        </is>
      </c>
      <c r="H10" s="37" t="inlineStr">
        <is>
          <t>Yes</t>
        </is>
      </c>
      <c r="I10" s="39">
        <f>COUNTIF('Sheets'!$A$7:$A$100000,$A10)</f>
        <v/>
      </c>
      <c r="J10" s="39">
        <f>COUNTIF('Visualizations'!$A$7:$A$100000,$A10)</f>
        <v/>
      </c>
      <c r="K10" s="39">
        <f>COUNTIF('MasterMeasures'!$A$7:$A$100000,$A10)</f>
        <v/>
      </c>
      <c r="L10" s="39">
        <f>COUNTIFS('MasterMeasures'!$A$7:$A$100000,$A10,'MasterMeasures'!$G$7:$G$100000,"Yes")</f>
        <v/>
      </c>
      <c r="M10" s="39">
        <f>COUNTIFS('MasterMeasures'!$A$7:$A$100000,$A10,'MasterMeasures'!$H$7:$H$100000,"Yes")</f>
        <v/>
      </c>
      <c r="N10" s="39">
        <f>COUNTIFS('MasterMeasures'!$A$7:$A$100000,$A10,'MasterMeasures'!$K$7:$K$100000,"High")</f>
        <v/>
      </c>
      <c r="O10" s="39">
        <f>COUNTIF('MasterDimensions'!$A$7:$A$100000,$A10)</f>
        <v/>
      </c>
      <c r="P10" s="39">
        <f>COUNTIFS('MasterDimensions'!$A$7:$A$100000,$A10,'MasterDimensions'!$E$7:$E$100000,"Drill-down")</f>
        <v/>
      </c>
      <c r="Q10" s="39">
        <f>COUNTIF('MasterVisualizations'!$A$7:$A$100000,$A10)</f>
        <v/>
      </c>
      <c r="R10" s="39">
        <f>COUNTIF('Variables'!$A$7:$A$100000,$A10)</f>
        <v/>
      </c>
      <c r="S10" s="39">
        <f>COUNTIFS('Variables'!$A$7:$A$100000,$A10,'Variables'!$F$7:$F$100000,"Yes")</f>
        <v/>
      </c>
      <c r="T10" s="39">
        <f>COUNTIF('Bookmarks'!$A$7:$A$100000,$A10)</f>
        <v/>
      </c>
      <c r="U10" s="39">
        <f>COUNTIF('Stories'!$A$7:$A$100000,$A10)</f>
        <v/>
      </c>
      <c r="V10" s="39">
        <f>COUNTIF('LoadScript'!$A$7:$A$100000,$A10)</f>
        <v/>
      </c>
      <c r="W10" s="39">
        <f>SUMIF('LoadScript'!$A$7:$A$100000,$A10,'LoadScript'!$E$7:$E$100000)</f>
        <v/>
      </c>
      <c r="X10" s="39">
        <f>SUMIF('DataSources'!$A$7:$A$100000,$A10,'DataSources'!$F$7:$F$100000)</f>
        <v/>
      </c>
      <c r="Y10" s="39">
        <f>COUNTIF('DataTables'!$A$7:$A$100000,$A10)</f>
        <v/>
      </c>
      <c r="Z10" s="39">
        <f>SUMIF('DataTables'!$A$7:$A$100000,$A10,'DataTables'!$D$7:$D$100000)</f>
        <v/>
      </c>
      <c r="AA10" s="39">
        <f>COUNTIF('Fields'!$A$7:$A$100000,$A10)</f>
        <v/>
      </c>
      <c r="AB10" s="39">
        <f>COUNTIF('LegacyObjects'!$A$7:$A$100000,$A10)</f>
        <v/>
      </c>
      <c r="AC10" s="39">
        <f>COUNTIF('Warnings'!$A$7:$A$100000,$A10)</f>
        <v/>
      </c>
      <c r="AD10" s="40">
        <f>IF($E10="Parsed",I10*'Totals'!$C$77+J10*'Totals'!$C$78+K10*'Totals'!$C$79+L10*'Totals'!$C$80+M10*'Totals'!$C$81+O10*'Totals'!$C$82+P10*'Totals'!$C$83+Q10*'Totals'!$C$84+S10*'Totals'!$C$85+V10*'Totals'!$C$86+W10*'Totals'!$C$87+X10*'Totals'!$C$88+AB10*'Totals'!$C$89+T10*'Totals'!$C$90+U10*'Totals'!$C$91,0)</f>
        <v/>
      </c>
      <c r="AE10" s="41">
        <f>IF($E10&lt;&gt;"Parsed","-",IF(AD10&gt;='Totals'!$C$94,"High",IF(AD10&gt;='Totals'!$C$93,"Medium","Low")))</f>
        <v/>
      </c>
    </row>
    <row r="11">
      <c r="A11" s="32" t="inlineStr">
        <is>
          <t>TryConfigColorAndAgrField</t>
        </is>
      </c>
      <c r="B11" s="32" t="inlineStr">
        <is>
          <t>TryConfigColorAndAgrField</t>
        </is>
      </c>
      <c r="C11" s="32" t="inlineStr">
        <is>
          <t>TryConfigColorAndAgrField.qvf</t>
        </is>
      </c>
      <c r="D11" s="33" t="n">
        <v>0.17</v>
      </c>
      <c r="E11" s="32" t="inlineStr">
        <is>
          <t>Parsed</t>
        </is>
      </c>
      <c r="F11" s="32" t="inlineStr">
        <is>
          <t>2.1.1</t>
        </is>
      </c>
      <c r="G11" s="32" t="inlineStr">
        <is>
          <t>2016-03-06 16:53:12</t>
        </is>
      </c>
      <c r="H11" s="32" t="inlineStr">
        <is>
          <t>Yes</t>
        </is>
      </c>
      <c r="I11" s="34">
        <f>COUNTIF('Sheets'!$A$7:$A$100000,$A11)</f>
        <v/>
      </c>
      <c r="J11" s="34">
        <f>COUNTIF('Visualizations'!$A$7:$A$100000,$A11)</f>
        <v/>
      </c>
      <c r="K11" s="34">
        <f>COUNTIF('MasterMeasures'!$A$7:$A$100000,$A11)</f>
        <v/>
      </c>
      <c r="L11" s="34">
        <f>COUNTIFS('MasterMeasures'!$A$7:$A$100000,$A11,'MasterMeasures'!$G$7:$G$100000,"Yes")</f>
        <v/>
      </c>
      <c r="M11" s="34">
        <f>COUNTIFS('MasterMeasures'!$A$7:$A$100000,$A11,'MasterMeasures'!$H$7:$H$100000,"Yes")</f>
        <v/>
      </c>
      <c r="N11" s="34">
        <f>COUNTIFS('MasterMeasures'!$A$7:$A$100000,$A11,'MasterMeasures'!$K$7:$K$100000,"High")</f>
        <v/>
      </c>
      <c r="O11" s="34">
        <f>COUNTIF('MasterDimensions'!$A$7:$A$100000,$A11)</f>
        <v/>
      </c>
      <c r="P11" s="34">
        <f>COUNTIFS('MasterDimensions'!$A$7:$A$100000,$A11,'MasterDimensions'!$E$7:$E$100000,"Drill-down")</f>
        <v/>
      </c>
      <c r="Q11" s="34">
        <f>COUNTIF('MasterVisualizations'!$A$7:$A$100000,$A11)</f>
        <v/>
      </c>
      <c r="R11" s="34">
        <f>COUNTIF('Variables'!$A$7:$A$100000,$A11)</f>
        <v/>
      </c>
      <c r="S11" s="34">
        <f>COUNTIFS('Variables'!$A$7:$A$100000,$A11,'Variables'!$F$7:$F$100000,"Yes")</f>
        <v/>
      </c>
      <c r="T11" s="34">
        <f>COUNTIF('Bookmarks'!$A$7:$A$100000,$A11)</f>
        <v/>
      </c>
      <c r="U11" s="34">
        <f>COUNTIF('Stories'!$A$7:$A$100000,$A11)</f>
        <v/>
      </c>
      <c r="V11" s="34">
        <f>COUNTIF('LoadScript'!$A$7:$A$100000,$A11)</f>
        <v/>
      </c>
      <c r="W11" s="34">
        <f>SUMIF('LoadScript'!$A$7:$A$100000,$A11,'LoadScript'!$E$7:$E$100000)</f>
        <v/>
      </c>
      <c r="X11" s="34">
        <f>SUMIF('DataSources'!$A$7:$A$100000,$A11,'DataSources'!$F$7:$F$100000)</f>
        <v/>
      </c>
      <c r="Y11" s="34">
        <f>COUNTIF('DataTables'!$A$7:$A$100000,$A11)</f>
        <v/>
      </c>
      <c r="Z11" s="34">
        <f>SUMIF('DataTables'!$A$7:$A$100000,$A11,'DataTables'!$D$7:$D$100000)</f>
        <v/>
      </c>
      <c r="AA11" s="34">
        <f>COUNTIF('Fields'!$A$7:$A$100000,$A11)</f>
        <v/>
      </c>
      <c r="AB11" s="34">
        <f>COUNTIF('LegacyObjects'!$A$7:$A$100000,$A11)</f>
        <v/>
      </c>
      <c r="AC11" s="34">
        <f>COUNTIF('Warnings'!$A$7:$A$100000,$A11)</f>
        <v/>
      </c>
      <c r="AD11" s="35">
        <f>IF($E11="Parsed",I11*'Totals'!$C$77+J11*'Totals'!$C$78+K11*'Totals'!$C$79+L11*'Totals'!$C$80+M11*'Totals'!$C$81+O11*'Totals'!$C$82+P11*'Totals'!$C$83+Q11*'Totals'!$C$84+S11*'Totals'!$C$85+V11*'Totals'!$C$86+W11*'Totals'!$C$87+X11*'Totals'!$C$88+AB11*'Totals'!$C$89+T11*'Totals'!$C$90+U11*'Totals'!$C$91,0)</f>
        <v/>
      </c>
      <c r="AE11" s="36">
        <f>IF($E11&lt;&gt;"Parsed","-",IF(AD11&gt;='Totals'!$C$94,"High",IF(AD11&gt;='Totals'!$C$93,"Medium","Low")))</f>
        <v/>
      </c>
    </row>
    <row r="12">
      <c r="A12" s="37" t="inlineStr">
        <is>
          <t>TryExtensions</t>
        </is>
      </c>
      <c r="B12" s="37" t="inlineStr">
        <is>
          <t>TryExtensions</t>
        </is>
      </c>
      <c r="C12" s="37" t="inlineStr">
        <is>
          <t>TryExtensions.qvf</t>
        </is>
      </c>
      <c r="D12" s="38" t="n">
        <v>0.2</v>
      </c>
      <c r="E12" s="37" t="inlineStr">
        <is>
          <t>Parsed</t>
        </is>
      </c>
      <c r="F12" s="37" t="inlineStr">
        <is>
          <t>2.1.1</t>
        </is>
      </c>
      <c r="G12" s="37" t="inlineStr">
        <is>
          <t>2015-11-29 22:54:00</t>
        </is>
      </c>
      <c r="H12" s="37" t="inlineStr">
        <is>
          <t>Yes</t>
        </is>
      </c>
      <c r="I12" s="39">
        <f>COUNTIF('Sheets'!$A$7:$A$100000,$A12)</f>
        <v/>
      </c>
      <c r="J12" s="39">
        <f>COUNTIF('Visualizations'!$A$7:$A$100000,$A12)</f>
        <v/>
      </c>
      <c r="K12" s="39">
        <f>COUNTIF('MasterMeasures'!$A$7:$A$100000,$A12)</f>
        <v/>
      </c>
      <c r="L12" s="39">
        <f>COUNTIFS('MasterMeasures'!$A$7:$A$100000,$A12,'MasterMeasures'!$G$7:$G$100000,"Yes")</f>
        <v/>
      </c>
      <c r="M12" s="39">
        <f>COUNTIFS('MasterMeasures'!$A$7:$A$100000,$A12,'MasterMeasures'!$H$7:$H$100000,"Yes")</f>
        <v/>
      </c>
      <c r="N12" s="39">
        <f>COUNTIFS('MasterMeasures'!$A$7:$A$100000,$A12,'MasterMeasures'!$K$7:$K$100000,"High")</f>
        <v/>
      </c>
      <c r="O12" s="39">
        <f>COUNTIF('MasterDimensions'!$A$7:$A$100000,$A12)</f>
        <v/>
      </c>
      <c r="P12" s="39">
        <f>COUNTIFS('MasterDimensions'!$A$7:$A$100000,$A12,'MasterDimensions'!$E$7:$E$100000,"Drill-down")</f>
        <v/>
      </c>
      <c r="Q12" s="39">
        <f>COUNTIF('MasterVisualizations'!$A$7:$A$100000,$A12)</f>
        <v/>
      </c>
      <c r="R12" s="39">
        <f>COUNTIF('Variables'!$A$7:$A$100000,$A12)</f>
        <v/>
      </c>
      <c r="S12" s="39">
        <f>COUNTIFS('Variables'!$A$7:$A$100000,$A12,'Variables'!$F$7:$F$100000,"Yes")</f>
        <v/>
      </c>
      <c r="T12" s="39">
        <f>COUNTIF('Bookmarks'!$A$7:$A$100000,$A12)</f>
        <v/>
      </c>
      <c r="U12" s="39">
        <f>COUNTIF('Stories'!$A$7:$A$100000,$A12)</f>
        <v/>
      </c>
      <c r="V12" s="39">
        <f>COUNTIF('LoadScript'!$A$7:$A$100000,$A12)</f>
        <v/>
      </c>
      <c r="W12" s="39">
        <f>SUMIF('LoadScript'!$A$7:$A$100000,$A12,'LoadScript'!$E$7:$E$100000)</f>
        <v/>
      </c>
      <c r="X12" s="39">
        <f>SUMIF('DataSources'!$A$7:$A$100000,$A12,'DataSources'!$F$7:$F$100000)</f>
        <v/>
      </c>
      <c r="Y12" s="39">
        <f>COUNTIF('DataTables'!$A$7:$A$100000,$A12)</f>
        <v/>
      </c>
      <c r="Z12" s="39">
        <f>SUMIF('DataTables'!$A$7:$A$100000,$A12,'DataTables'!$D$7:$D$100000)</f>
        <v/>
      </c>
      <c r="AA12" s="39">
        <f>COUNTIF('Fields'!$A$7:$A$100000,$A12)</f>
        <v/>
      </c>
      <c r="AB12" s="39">
        <f>COUNTIF('LegacyObjects'!$A$7:$A$100000,$A12)</f>
        <v/>
      </c>
      <c r="AC12" s="39">
        <f>COUNTIF('Warnings'!$A$7:$A$100000,$A12)</f>
        <v/>
      </c>
      <c r="AD12" s="40">
        <f>IF($E12="Parsed",I12*'Totals'!$C$77+J12*'Totals'!$C$78+K12*'Totals'!$C$79+L12*'Totals'!$C$80+M12*'Totals'!$C$81+O12*'Totals'!$C$82+P12*'Totals'!$C$83+Q12*'Totals'!$C$84+S12*'Totals'!$C$85+V12*'Totals'!$C$86+W12*'Totals'!$C$87+X12*'Totals'!$C$88+AB12*'Totals'!$C$89+T12*'Totals'!$C$90+U12*'Totals'!$C$91,0)</f>
        <v/>
      </c>
      <c r="AE12" s="41">
        <f>IF($E12&lt;&gt;"Parsed","-",IF(AD12&gt;='Totals'!$C$94,"High",IF(AD12&gt;='Totals'!$C$93,"Medium","Low")))</f>
        <v/>
      </c>
    </row>
    <row r="13">
      <c r="A13" s="32" t="inlineStr">
        <is>
          <t>Tutorial creazione nuova app</t>
        </is>
      </c>
      <c r="B13" s="32" t="inlineStr">
        <is>
          <t>Tutorial creazione nuova app</t>
        </is>
      </c>
      <c r="C13" s="32" t="inlineStr">
        <is>
          <t>Tutorial creazione nuova app.qvf</t>
        </is>
      </c>
      <c r="D13" s="33" t="n">
        <v>2.43</v>
      </c>
      <c r="E13" s="32" t="inlineStr">
        <is>
          <t>Parsed</t>
        </is>
      </c>
      <c r="F13" s="32" t="inlineStr">
        <is>
          <t>2.1.1</t>
        </is>
      </c>
      <c r="G13" s="32" t="inlineStr">
        <is>
          <t>2016-01-31 18:25:09</t>
        </is>
      </c>
      <c r="H13" s="32" t="inlineStr">
        <is>
          <t>Yes</t>
        </is>
      </c>
      <c r="I13" s="34">
        <f>COUNTIF('Sheets'!$A$7:$A$100000,$A13)</f>
        <v/>
      </c>
      <c r="J13" s="34">
        <f>COUNTIF('Visualizations'!$A$7:$A$100000,$A13)</f>
        <v/>
      </c>
      <c r="K13" s="34">
        <f>COUNTIF('MasterMeasures'!$A$7:$A$100000,$A13)</f>
        <v/>
      </c>
      <c r="L13" s="34">
        <f>COUNTIFS('MasterMeasures'!$A$7:$A$100000,$A13,'MasterMeasures'!$G$7:$G$100000,"Yes")</f>
        <v/>
      </c>
      <c r="M13" s="34">
        <f>COUNTIFS('MasterMeasures'!$A$7:$A$100000,$A13,'MasterMeasures'!$H$7:$H$100000,"Yes")</f>
        <v/>
      </c>
      <c r="N13" s="34">
        <f>COUNTIFS('MasterMeasures'!$A$7:$A$100000,$A13,'MasterMeasures'!$K$7:$K$100000,"High")</f>
        <v/>
      </c>
      <c r="O13" s="34">
        <f>COUNTIF('MasterDimensions'!$A$7:$A$100000,$A13)</f>
        <v/>
      </c>
      <c r="P13" s="34">
        <f>COUNTIFS('MasterDimensions'!$A$7:$A$100000,$A13,'MasterDimensions'!$E$7:$E$100000,"Drill-down")</f>
        <v/>
      </c>
      <c r="Q13" s="34">
        <f>COUNTIF('MasterVisualizations'!$A$7:$A$100000,$A13)</f>
        <v/>
      </c>
      <c r="R13" s="34">
        <f>COUNTIF('Variables'!$A$7:$A$100000,$A13)</f>
        <v/>
      </c>
      <c r="S13" s="34">
        <f>COUNTIFS('Variables'!$A$7:$A$100000,$A13,'Variables'!$F$7:$F$100000,"Yes")</f>
        <v/>
      </c>
      <c r="T13" s="34">
        <f>COUNTIF('Bookmarks'!$A$7:$A$100000,$A13)</f>
        <v/>
      </c>
      <c r="U13" s="34">
        <f>COUNTIF('Stories'!$A$7:$A$100000,$A13)</f>
        <v/>
      </c>
      <c r="V13" s="34">
        <f>COUNTIF('LoadScript'!$A$7:$A$100000,$A13)</f>
        <v/>
      </c>
      <c r="W13" s="34">
        <f>SUMIF('LoadScript'!$A$7:$A$100000,$A13,'LoadScript'!$E$7:$E$100000)</f>
        <v/>
      </c>
      <c r="X13" s="34">
        <f>SUMIF('DataSources'!$A$7:$A$100000,$A13,'DataSources'!$F$7:$F$100000)</f>
        <v/>
      </c>
      <c r="Y13" s="34">
        <f>COUNTIF('DataTables'!$A$7:$A$100000,$A13)</f>
        <v/>
      </c>
      <c r="Z13" s="34">
        <f>SUMIF('DataTables'!$A$7:$A$100000,$A13,'DataTables'!$D$7:$D$100000)</f>
        <v/>
      </c>
      <c r="AA13" s="34">
        <f>COUNTIF('Fields'!$A$7:$A$100000,$A13)</f>
        <v/>
      </c>
      <c r="AB13" s="34">
        <f>COUNTIF('LegacyObjects'!$A$7:$A$100000,$A13)</f>
        <v/>
      </c>
      <c r="AC13" s="34">
        <f>COUNTIF('Warnings'!$A$7:$A$100000,$A13)</f>
        <v/>
      </c>
      <c r="AD13" s="35">
        <f>IF($E13="Parsed",I13*'Totals'!$C$77+J13*'Totals'!$C$78+K13*'Totals'!$C$79+L13*'Totals'!$C$80+M13*'Totals'!$C$81+O13*'Totals'!$C$82+P13*'Totals'!$C$83+Q13*'Totals'!$C$84+S13*'Totals'!$C$85+V13*'Totals'!$C$86+W13*'Totals'!$C$87+X13*'Totals'!$C$88+AB13*'Totals'!$C$89+T13*'Totals'!$C$90+U13*'Totals'!$C$91,0)</f>
        <v/>
      </c>
      <c r="AE13" s="36">
        <f>IF($E13&lt;&gt;"Parsed","-",IF(AD13&gt;='Totals'!$C$94,"High",IF(AD13&gt;='Totals'!$C$93,"Medium","Low")))</f>
        <v/>
      </c>
    </row>
    <row r="14">
      <c r="A14" s="37" t="inlineStr">
        <is>
          <t>Tutorial creazione script</t>
        </is>
      </c>
      <c r="B14" s="37" t="inlineStr">
        <is>
          <t>Tutorial creazione script</t>
        </is>
      </c>
      <c r="C14" s="37" t="inlineStr">
        <is>
          <t>Tutorial creazione script.qvf</t>
        </is>
      </c>
      <c r="D14" s="38" t="n">
        <v>0.2</v>
      </c>
      <c r="E14" s="37" t="inlineStr">
        <is>
          <t>Parsed</t>
        </is>
      </c>
      <c r="F14" s="37" t="inlineStr">
        <is>
          <t>2.1.1</t>
        </is>
      </c>
      <c r="G14" s="37" t="inlineStr">
        <is>
          <t>2016-01-31 23:06:30</t>
        </is>
      </c>
      <c r="H14" s="37" t="inlineStr">
        <is>
          <t>Yes</t>
        </is>
      </c>
      <c r="I14" s="39">
        <f>COUNTIF('Sheets'!$A$7:$A$100000,$A14)</f>
        <v/>
      </c>
      <c r="J14" s="39">
        <f>COUNTIF('Visualizations'!$A$7:$A$100000,$A14)</f>
        <v/>
      </c>
      <c r="K14" s="39">
        <f>COUNTIF('MasterMeasures'!$A$7:$A$100000,$A14)</f>
        <v/>
      </c>
      <c r="L14" s="39">
        <f>COUNTIFS('MasterMeasures'!$A$7:$A$100000,$A14,'MasterMeasures'!$G$7:$G$100000,"Yes")</f>
        <v/>
      </c>
      <c r="M14" s="39">
        <f>COUNTIFS('MasterMeasures'!$A$7:$A$100000,$A14,'MasterMeasures'!$H$7:$H$100000,"Yes")</f>
        <v/>
      </c>
      <c r="N14" s="39">
        <f>COUNTIFS('MasterMeasures'!$A$7:$A$100000,$A14,'MasterMeasures'!$K$7:$K$100000,"High")</f>
        <v/>
      </c>
      <c r="O14" s="39">
        <f>COUNTIF('MasterDimensions'!$A$7:$A$100000,$A14)</f>
        <v/>
      </c>
      <c r="P14" s="39">
        <f>COUNTIFS('MasterDimensions'!$A$7:$A$100000,$A14,'MasterDimensions'!$E$7:$E$100000,"Drill-down")</f>
        <v/>
      </c>
      <c r="Q14" s="39">
        <f>COUNTIF('MasterVisualizations'!$A$7:$A$100000,$A14)</f>
        <v/>
      </c>
      <c r="R14" s="39">
        <f>COUNTIF('Variables'!$A$7:$A$100000,$A14)</f>
        <v/>
      </c>
      <c r="S14" s="39">
        <f>COUNTIFS('Variables'!$A$7:$A$100000,$A14,'Variables'!$F$7:$F$100000,"Yes")</f>
        <v/>
      </c>
      <c r="T14" s="39">
        <f>COUNTIF('Bookmarks'!$A$7:$A$100000,$A14)</f>
        <v/>
      </c>
      <c r="U14" s="39">
        <f>COUNTIF('Stories'!$A$7:$A$100000,$A14)</f>
        <v/>
      </c>
      <c r="V14" s="39">
        <f>COUNTIF('LoadScript'!$A$7:$A$100000,$A14)</f>
        <v/>
      </c>
      <c r="W14" s="39">
        <f>SUMIF('LoadScript'!$A$7:$A$100000,$A14,'LoadScript'!$E$7:$E$100000)</f>
        <v/>
      </c>
      <c r="X14" s="39">
        <f>SUMIF('DataSources'!$A$7:$A$100000,$A14,'DataSources'!$F$7:$F$100000)</f>
        <v/>
      </c>
      <c r="Y14" s="39">
        <f>COUNTIF('DataTables'!$A$7:$A$100000,$A14)</f>
        <v/>
      </c>
      <c r="Z14" s="39">
        <f>SUMIF('DataTables'!$A$7:$A$100000,$A14,'DataTables'!$D$7:$D$100000)</f>
        <v/>
      </c>
      <c r="AA14" s="39">
        <f>COUNTIF('Fields'!$A$7:$A$100000,$A14)</f>
        <v/>
      </c>
      <c r="AB14" s="39">
        <f>COUNTIF('LegacyObjects'!$A$7:$A$100000,$A14)</f>
        <v/>
      </c>
      <c r="AC14" s="39">
        <f>COUNTIF('Warnings'!$A$7:$A$100000,$A14)</f>
        <v/>
      </c>
      <c r="AD14" s="40">
        <f>IF($E14="Parsed",I14*'Totals'!$C$77+J14*'Totals'!$C$78+K14*'Totals'!$C$79+L14*'Totals'!$C$80+M14*'Totals'!$C$81+O14*'Totals'!$C$82+P14*'Totals'!$C$83+Q14*'Totals'!$C$84+S14*'Totals'!$C$85+V14*'Totals'!$C$86+W14*'Totals'!$C$87+X14*'Totals'!$C$88+AB14*'Totals'!$C$89+T14*'Totals'!$C$90+U14*'Totals'!$C$91,0)</f>
        <v/>
      </c>
      <c r="AE14" s="41">
        <f>IF($E14&lt;&gt;"Parsed","-",IF(AD14&gt;='Totals'!$C$94,"High",IF(AD14&gt;='Totals'!$C$93,"Medium","Low")))</f>
        <v/>
      </c>
    </row>
  </sheetData>
  <autoFilter ref="A6:AE14"/>
  <mergeCells count="1">
    <mergeCell ref="C2:AA3"/>
  </mergeCells>
  <conditionalFormatting sqref="AE7:AE14">
    <cfRule type="expression" priority="1" dxfId="0">
      <formula>AE7="High"</formula>
    </cfRule>
    <cfRule type="expression" priority="2" dxfId="1">
      <formula>AE7="Medium"</formula>
    </cfRule>
    <cfRule type="expression" priority="3" dxfId="2">
      <formula>AE7="Low"</formula>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C4650"/>
    <outlinePr summaryBelow="1" summaryRight="1"/>
    <pageSetUpPr fitToPage="1"/>
  </sheetPr>
  <dimension ref="A2:H19"/>
  <sheetViews>
    <sheetView showGridLines="0" workbookViewId="0">
      <pane ySplit="6" topLeftCell="A7" activePane="bottomLeft" state="frozen"/>
      <selection pane="bottomLeft" activeCell="A1" sqref="A1"/>
    </sheetView>
  </sheetViews>
  <sheetFormatPr baseColWidth="8" defaultRowHeight="15"/>
  <cols>
    <col width="26" customWidth="1" min="1" max="1"/>
    <col width="6" customWidth="1" min="2" max="2"/>
    <col width="38" customWidth="1" min="3" max="3"/>
    <col width="34" customWidth="1" min="4" max="4"/>
    <col width="56" customWidth="1" min="5" max="5"/>
    <col width="14" customWidth="1" min="6" max="6"/>
    <col width="14" customWidth="1" min="7" max="7"/>
    <col width="13" customWidth="1" min="8" max="8"/>
  </cols>
  <sheetData>
    <row r="1" ht="24" customHeight="1"/>
    <row r="2" ht="24" customHeight="1">
      <c r="D2" s="1" t="inlineStr">
        <is>
          <t>Sheets  ·  every sheet in every app</t>
        </is>
      </c>
    </row>
    <row r="3" ht="20" customHeight="1"/>
    <row r="4" ht="10" customHeight="1"/>
    <row r="5" ht="18" customHeight="1">
      <c r="A5" s="29">
        <f>HYPERLINK("#'Discovery'!A1","«  Back to Discovery")</f>
        <v/>
      </c>
      <c r="B5" s="30" t="inlineStr">
        <is>
          <t>One row per sheet in every app: title, description, visualizations on it, master-item reuse.</t>
        </is>
      </c>
    </row>
    <row r="6" ht="30" customHeight="1">
      <c r="A6" s="31" t="inlineStr">
        <is>
          <t>App</t>
        </is>
      </c>
      <c r="B6" s="31" t="inlineStr">
        <is>
          <t>#</t>
        </is>
      </c>
      <c r="C6" s="31" t="inlineStr">
        <is>
          <t>Sheet ID</t>
        </is>
      </c>
      <c r="D6" s="31" t="inlineStr">
        <is>
          <t>Title</t>
        </is>
      </c>
      <c r="E6" s="31" t="inlineStr">
        <is>
          <t>Description</t>
        </is>
      </c>
      <c r="F6" s="31" t="inlineStr">
        <is>
          <t>Visualizations</t>
        </is>
      </c>
      <c r="G6" s="31" t="inlineStr">
        <is>
          <t>Linked to master items</t>
        </is>
      </c>
      <c r="H6" s="31" t="inlineStr">
        <is>
          <t>Grid (cols x rows)</t>
        </is>
      </c>
    </row>
    <row r="7">
      <c r="A7" s="32" t="inlineStr">
        <is>
          <t>Executive Dashboard</t>
        </is>
      </c>
      <c r="B7" s="34" t="n">
        <v>1</v>
      </c>
      <c r="C7" s="32" t="inlineStr">
        <is>
          <t>PfKsJK</t>
        </is>
      </c>
      <c r="D7" s="32" t="inlineStr">
        <is>
          <t>KPI Dashboard</t>
        </is>
      </c>
      <c r="E7" s="42" t="inlineStr">
        <is>
          <t>The KPI Dashboard provides a high-level overview of the company in three areas: expenses, revenue and account receivables.</t>
        </is>
      </c>
      <c r="F7" s="34">
        <f>COUNTIFS('Visualizations'!$A$7:$A$100000,A7,'Visualizations'!$B$7:$B$100000,C7)</f>
        <v/>
      </c>
      <c r="G7" s="34">
        <f>COUNTIFS('Visualizations'!$A$7:$A$100000,A7,'Visualizations'!$B$7:$B$100000,C7,'Visualizations'!$H$7:$H$100000,"?*")</f>
        <v/>
      </c>
      <c r="H7" s="32" t="inlineStr">
        <is>
          <t>24 x 12</t>
        </is>
      </c>
    </row>
    <row r="8">
      <c r="A8" s="37" t="inlineStr">
        <is>
          <t>Executive Dashboard</t>
        </is>
      </c>
      <c r="B8" s="39" t="n">
        <v>2</v>
      </c>
      <c r="C8" s="37" t="inlineStr">
        <is>
          <t>FaQeFa</t>
        </is>
      </c>
      <c r="D8" s="37" t="inlineStr">
        <is>
          <t>Sales Analysis</t>
        </is>
      </c>
      <c r="E8" s="43" t="inlineStr">
        <is>
          <t>The Sales Analysis sheet allows the user to monitor the company's revenue to ensure it is on target for the year.</t>
        </is>
      </c>
      <c r="F8" s="39">
        <f>COUNTIFS('Visualizations'!$A$7:$A$100000,A8,'Visualizations'!$B$7:$B$100000,C8)</f>
        <v/>
      </c>
      <c r="G8" s="39">
        <f>COUNTIFS('Visualizations'!$A$7:$A$100000,A8,'Visualizations'!$B$7:$B$100000,C8,'Visualizations'!$H$7:$H$100000,"?*")</f>
        <v/>
      </c>
      <c r="H8" s="37" t="inlineStr">
        <is>
          <t>24 x 12</t>
        </is>
      </c>
    </row>
    <row r="9">
      <c r="A9" s="32" t="inlineStr">
        <is>
          <t>Executive Dashboard</t>
        </is>
      </c>
      <c r="B9" s="34" t="n">
        <v>3</v>
      </c>
      <c r="C9" s="32" t="inlineStr">
        <is>
          <t>JsCeVm</t>
        </is>
      </c>
      <c r="D9" s="32" t="inlineStr">
        <is>
          <t>Account Receivable Analysis</t>
        </is>
      </c>
      <c r="E9" s="42" t="inlineStr">
        <is>
          <t>The Account Receivables Analysis sheet provides sales information and a look at the amount due and days sales outstanding for customers.</t>
        </is>
      </c>
      <c r="F9" s="34">
        <f>COUNTIFS('Visualizations'!$A$7:$A$100000,A9,'Visualizations'!$B$7:$B$100000,C9)</f>
        <v/>
      </c>
      <c r="G9" s="34">
        <f>COUNTIFS('Visualizations'!$A$7:$A$100000,A9,'Visualizations'!$B$7:$B$100000,C9,'Visualizations'!$H$7:$H$100000,"?*")</f>
        <v/>
      </c>
      <c r="H9" s="32" t="inlineStr">
        <is>
          <t>24 x 12</t>
        </is>
      </c>
    </row>
    <row r="10">
      <c r="A10" s="37" t="inlineStr">
        <is>
          <t>Helpdesk Management</t>
        </is>
      </c>
      <c r="B10" s="39" t="n">
        <v>1</v>
      </c>
      <c r="C10" s="37" t="inlineStr">
        <is>
          <t>1ff88551-9c4d-41e0-b790-37f4c11d3df8</t>
        </is>
      </c>
      <c r="D10" s="37" t="inlineStr">
        <is>
          <t>Dashboard</t>
        </is>
      </c>
      <c r="E10" s="43" t="inlineStr">
        <is>
          <t>Quickly analyze the pulse of the Helpdesk organization. See the case priority breakdown, cases by department, cases by type, etc.</t>
        </is>
      </c>
      <c r="F10" s="39">
        <f>COUNTIFS('Visualizations'!$A$7:$A$100000,A10,'Visualizations'!$B$7:$B$100000,C10)</f>
        <v/>
      </c>
      <c r="G10" s="39">
        <f>COUNTIFS('Visualizations'!$A$7:$A$100000,A10,'Visualizations'!$B$7:$B$100000,C10,'Visualizations'!$H$7:$H$100000,"?*")</f>
        <v/>
      </c>
      <c r="H10" s="37" t="inlineStr">
        <is>
          <t>24 x 12</t>
        </is>
      </c>
    </row>
    <row r="11">
      <c r="A11" s="32" t="inlineStr">
        <is>
          <t>Helpdesk Management</t>
        </is>
      </c>
      <c r="B11" s="34" t="n">
        <v>2</v>
      </c>
      <c r="C11" s="32" t="inlineStr">
        <is>
          <t>kHgmg</t>
        </is>
      </c>
      <c r="D11" s="32" t="inlineStr">
        <is>
          <t>Performance</t>
        </is>
      </c>
      <c r="E11" s="42" t="inlineStr">
        <is>
          <t>See employee resource breakdown for each case. Who has the most open cases? Which employee's average case duration is the longest?</t>
        </is>
      </c>
      <c r="F11" s="34">
        <f>COUNTIFS('Visualizations'!$A$7:$A$100000,A11,'Visualizations'!$B$7:$B$100000,C11)</f>
        <v/>
      </c>
      <c r="G11" s="34">
        <f>COUNTIFS('Visualizations'!$A$7:$A$100000,A11,'Visualizations'!$B$7:$B$100000,C11,'Visualizations'!$H$7:$H$100000,"?*")</f>
        <v/>
      </c>
      <c r="H11" s="32" t="inlineStr">
        <is>
          <t>24 x 12</t>
        </is>
      </c>
    </row>
    <row r="12">
      <c r="A12" s="37" t="inlineStr">
        <is>
          <t>Helpdesk Management</t>
        </is>
      </c>
      <c r="B12" s="39" t="n">
        <v>3</v>
      </c>
      <c r="C12" s="37" t="inlineStr">
        <is>
          <t>VkcYvCR</t>
        </is>
      </c>
      <c r="D12" s="37" t="inlineStr">
        <is>
          <t>Case Details</t>
        </is>
      </c>
      <c r="E12" s="43" t="inlineStr">
        <is>
          <t>See an overview of each case. Filter by department, type, open cases, closed cases, etc</t>
        </is>
      </c>
      <c r="F12" s="39">
        <f>COUNTIFS('Visualizations'!$A$7:$A$100000,A12,'Visualizations'!$B$7:$B$100000,C12)</f>
        <v/>
      </c>
      <c r="G12" s="39">
        <f>COUNTIFS('Visualizations'!$A$7:$A$100000,A12,'Visualizations'!$B$7:$B$100000,C12,'Visualizations'!$H$7:$H$100000,"?*")</f>
        <v/>
      </c>
      <c r="H12" s="37" t="inlineStr">
        <is>
          <t>24 x 12</t>
        </is>
      </c>
    </row>
    <row r="13">
      <c r="A13" s="32" t="inlineStr">
        <is>
          <t>Sales Analysis</t>
        </is>
      </c>
      <c r="B13" s="34" t="n">
        <v>1</v>
      </c>
      <c r="C13" s="32" t="inlineStr">
        <is>
          <t>RpwpQEp</t>
        </is>
      </c>
      <c r="D13" s="32" t="inlineStr">
        <is>
          <t>Il mio nuovo foglio</t>
        </is>
      </c>
      <c r="E13" s="42" t="inlineStr"/>
      <c r="F13" s="34">
        <f>COUNTIFS('Visualizations'!$A$7:$A$100000,A13,'Visualizations'!$B$7:$B$100000,C13)</f>
        <v/>
      </c>
      <c r="G13" s="34">
        <f>COUNTIFS('Visualizations'!$A$7:$A$100000,A13,'Visualizations'!$B$7:$B$100000,C13,'Visualizations'!$H$7:$H$100000,"?*")</f>
        <v/>
      </c>
      <c r="H13" s="32" t="inlineStr">
        <is>
          <t>24 x 12</t>
        </is>
      </c>
    </row>
    <row r="14">
      <c r="A14" s="37" t="inlineStr">
        <is>
          <t>TryConfigColorAndAgrField</t>
        </is>
      </c>
      <c r="B14" s="39" t="n">
        <v>1</v>
      </c>
      <c r="C14" s="37" t="inlineStr">
        <is>
          <t>yJByFm</t>
        </is>
      </c>
      <c r="D14" s="37" t="inlineStr">
        <is>
          <t>Visualizza dati</t>
        </is>
      </c>
      <c r="E14" s="43" t="inlineStr"/>
      <c r="F14" s="39">
        <f>COUNTIFS('Visualizations'!$A$7:$A$100000,A14,'Visualizations'!$B$7:$B$100000,C14)</f>
        <v/>
      </c>
      <c r="G14" s="39">
        <f>COUNTIFS('Visualizations'!$A$7:$A$100000,A14,'Visualizations'!$B$7:$B$100000,C14,'Visualizations'!$H$7:$H$100000,"?*")</f>
        <v/>
      </c>
      <c r="H14" s="37" t="inlineStr">
        <is>
          <t>24 x 12</t>
        </is>
      </c>
    </row>
    <row r="15">
      <c r="A15" s="32" t="inlineStr">
        <is>
          <t>TryExtensions</t>
        </is>
      </c>
      <c r="B15" s="34" t="n">
        <v>1</v>
      </c>
      <c r="C15" s="32" t="inlineStr">
        <is>
          <t>bEBzp</t>
        </is>
      </c>
      <c r="D15" s="32" t="inlineStr">
        <is>
          <t>Hello World</t>
        </is>
      </c>
      <c r="E15" s="42" t="inlineStr"/>
      <c r="F15" s="34">
        <f>COUNTIFS('Visualizations'!$A$7:$A$100000,A15,'Visualizations'!$B$7:$B$100000,C15)</f>
        <v/>
      </c>
      <c r="G15" s="34">
        <f>COUNTIFS('Visualizations'!$A$7:$A$100000,A15,'Visualizations'!$B$7:$B$100000,C15,'Visualizations'!$H$7:$H$100000,"?*")</f>
        <v/>
      </c>
      <c r="H15" s="32" t="inlineStr">
        <is>
          <t>24 x 12</t>
        </is>
      </c>
    </row>
    <row r="16">
      <c r="A16" s="37" t="inlineStr">
        <is>
          <t>Tutorial creazione nuova app</t>
        </is>
      </c>
      <c r="B16" s="39" t="n">
        <v>1</v>
      </c>
      <c r="C16" s="37" t="inlineStr">
        <is>
          <t>pNfY</t>
        </is>
      </c>
      <c r="D16" s="37" t="inlineStr">
        <is>
          <t>Dashboard</t>
        </is>
      </c>
      <c r="E16" s="43" t="inlineStr"/>
      <c r="F16" s="39">
        <f>COUNTIFS('Visualizations'!$A$7:$A$100000,A16,'Visualizations'!$B$7:$B$100000,C16)</f>
        <v/>
      </c>
      <c r="G16" s="39">
        <f>COUNTIFS('Visualizations'!$A$7:$A$100000,A16,'Visualizations'!$B$7:$B$100000,C16,'Visualizations'!$H$7:$H$100000,"?*")</f>
        <v/>
      </c>
      <c r="H16" s="37" t="inlineStr">
        <is>
          <t>24 x 12</t>
        </is>
      </c>
    </row>
    <row r="17">
      <c r="A17" s="32" t="inlineStr">
        <is>
          <t>Tutorial creazione nuova app</t>
        </is>
      </c>
      <c r="B17" s="34" t="n">
        <v>2</v>
      </c>
      <c r="C17" s="32" t="inlineStr">
        <is>
          <t>DxxjRM</t>
        </is>
      </c>
      <c r="D17" s="32" t="inlineStr">
        <is>
          <t>Product details</t>
        </is>
      </c>
      <c r="E17" s="42" t="inlineStr"/>
      <c r="F17" s="34">
        <f>COUNTIFS('Visualizations'!$A$7:$A$100000,A17,'Visualizations'!$B$7:$B$100000,C17)</f>
        <v/>
      </c>
      <c r="G17" s="34">
        <f>COUNTIFS('Visualizations'!$A$7:$A$100000,A17,'Visualizations'!$B$7:$B$100000,C17,'Visualizations'!$H$7:$H$100000,"?*")</f>
        <v/>
      </c>
      <c r="H17" s="32" t="inlineStr">
        <is>
          <t>24 x 12</t>
        </is>
      </c>
    </row>
    <row r="18">
      <c r="A18" s="37" t="inlineStr">
        <is>
          <t>Tutorial creazione nuova app</t>
        </is>
      </c>
      <c r="B18" s="39" t="n">
        <v>3</v>
      </c>
      <c r="C18" s="37" t="inlineStr">
        <is>
          <t>dwcu</t>
        </is>
      </c>
      <c r="D18" s="37" t="inlineStr">
        <is>
          <t>Customer details</t>
        </is>
      </c>
      <c r="E18" s="43" t="inlineStr"/>
      <c r="F18" s="39">
        <f>COUNTIFS('Visualizations'!$A$7:$A$100000,A18,'Visualizations'!$B$7:$B$100000,C18)</f>
        <v/>
      </c>
      <c r="G18" s="39">
        <f>COUNTIFS('Visualizations'!$A$7:$A$100000,A18,'Visualizations'!$B$7:$B$100000,C18,'Visualizations'!$H$7:$H$100000,"?*")</f>
        <v/>
      </c>
      <c r="H18" s="37" t="inlineStr">
        <is>
          <t>24 x 12</t>
        </is>
      </c>
    </row>
    <row r="19">
      <c r="A19" s="32" t="inlineStr">
        <is>
          <t>Tutorial creazione nuova app</t>
        </is>
      </c>
      <c r="B19" s="34" t="n">
        <v>4</v>
      </c>
      <c r="C19" s="32" t="inlineStr">
        <is>
          <t>jnJmy</t>
        </is>
      </c>
      <c r="D19" s="32" t="inlineStr">
        <is>
          <t>Customer location</t>
        </is>
      </c>
      <c r="E19" s="42" t="inlineStr"/>
      <c r="F19" s="34">
        <f>COUNTIFS('Visualizations'!$A$7:$A$100000,A19,'Visualizations'!$B$7:$B$100000,C19)</f>
        <v/>
      </c>
      <c r="G19" s="34">
        <f>COUNTIFS('Visualizations'!$A$7:$A$100000,A19,'Visualizations'!$B$7:$B$100000,C19,'Visualizations'!$H$7:$H$100000,"?*")</f>
        <v/>
      </c>
      <c r="H19" s="32" t="inlineStr">
        <is>
          <t>24 x 12</t>
        </is>
      </c>
    </row>
  </sheetData>
  <autoFilter ref="A6:H19"/>
  <mergeCells count="1">
    <mergeCell ref="D2:E3"/>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C4650"/>
    <outlinePr summaryBelow="1" summaryRight="1"/>
    <pageSetUpPr fitToPage="1"/>
  </sheetPr>
  <dimension ref="A2:N73"/>
  <sheetViews>
    <sheetView showGridLines="0" workbookViewId="0">
      <pane ySplit="6" topLeftCell="A7" activePane="bottomLeft" state="frozen"/>
      <selection pane="bottomLeft" activeCell="A1" sqref="A1"/>
    </sheetView>
  </sheetViews>
  <sheetFormatPr baseColWidth="8" defaultRowHeight="15"/>
  <cols>
    <col width="26" customWidth="1" min="1" max="1"/>
    <col width="14" customWidth="1" min="2" max="2"/>
    <col width="24" customWidth="1" min="3" max="3"/>
    <col width="14" customWidth="1" min="4" max="4"/>
    <col width="14" customWidth="1" min="5" max="5"/>
    <col width="28" customWidth="1" min="6" max="6"/>
    <col width="14" customWidth="1" min="7" max="7"/>
    <col width="16" customWidth="1" min="8" max="8"/>
    <col width="28" customWidth="1" min="9" max="9"/>
    <col width="40" customWidth="1" min="10" max="10"/>
    <col width="44" customWidth="1" min="11" max="11"/>
    <col width="7" customWidth="1" min="12" max="12"/>
    <col width="8" customWidth="1" min="13" max="13"/>
    <col width="18" customWidth="1" min="14" max="14"/>
  </cols>
  <sheetData>
    <row r="1" ht="24" customHeight="1"/>
    <row r="2" ht="24" customHeight="1">
      <c r="C2" s="1" t="inlineStr">
        <is>
          <t>Visualizations  ·  every object on every sheet</t>
        </is>
      </c>
    </row>
    <row r="3" ht="20" customHeight="1"/>
    <row r="4" ht="10" customHeight="1"/>
    <row r="5" ht="18" customHeight="1">
      <c r="A5" s="29">
        <f>HYPERLINK("#'Discovery'!A1","«  Back to Discovery")</f>
        <v/>
      </c>
      <c r="B5" s="30" t="inlineStr">
        <is>
          <t>Every object on every sheet (including containers and filter panes): type, title, master visualization link, dimensions, measures, grid position.</t>
        </is>
      </c>
    </row>
    <row r="6" ht="30" customHeight="1">
      <c r="A6" s="31" t="inlineStr">
        <is>
          <t>App</t>
        </is>
      </c>
      <c r="B6" s="31" t="inlineStr">
        <is>
          <t>Sheet ID</t>
        </is>
      </c>
      <c r="C6" s="31" t="inlineStr">
        <is>
          <t>Sheet</t>
        </is>
      </c>
      <c r="D6" s="31" t="inlineStr">
        <is>
          <t>Object ID</t>
        </is>
      </c>
      <c r="E6" s="31" t="inlineStr">
        <is>
          <t>Type</t>
        </is>
      </c>
      <c r="F6" s="31" t="inlineStr">
        <is>
          <t>Title</t>
        </is>
      </c>
      <c r="G6" s="31" t="inlineStr">
        <is>
          <t>Inside container</t>
        </is>
      </c>
      <c r="H6" s="31" t="inlineStr">
        <is>
          <t>Master visualization ID</t>
        </is>
      </c>
      <c r="I6" s="31" t="inlineStr">
        <is>
          <t>Master visualization</t>
        </is>
      </c>
      <c r="J6" s="31" t="inlineStr">
        <is>
          <t>Dimensions</t>
        </is>
      </c>
      <c r="K6" s="31" t="inlineStr">
        <is>
          <t>Measures</t>
        </is>
      </c>
      <c r="L6" s="31" t="inlineStr">
        <is>
          <t># Dim</t>
        </is>
      </c>
      <c r="M6" s="31" t="inlineStr">
        <is>
          <t># Meas</t>
        </is>
      </c>
      <c r="N6" s="31" t="inlineStr">
        <is>
          <t>Grid position</t>
        </is>
      </c>
    </row>
    <row r="7">
      <c r="A7" s="32" t="inlineStr">
        <is>
          <t>Executive Dashboard</t>
        </is>
      </c>
      <c r="B7" s="32" t="inlineStr">
        <is>
          <t>PfKsJK</t>
        </is>
      </c>
      <c r="C7" s="32" t="inlineStr">
        <is>
          <t>KPI Dashboard</t>
        </is>
      </c>
      <c r="D7" s="32" t="inlineStr">
        <is>
          <t>KxdNL</t>
        </is>
      </c>
      <c r="E7" s="32" t="inlineStr">
        <is>
          <t>gauge</t>
        </is>
      </c>
      <c r="F7" s="32" t="inlineStr">
        <is>
          <t>'Expenses vs. Target  =  ' &amp; num(sum({&lt;[Fiscal Year]={$(vYTDYear)}, _HistoryFlag={1}&gt;} ExpenseActual)/sum({&lt;[Fiscal Year]={$(vYTDYear)}, _HistoryFlag={1}&gt;} ExpenseBudget), '#,##0%')</t>
        </is>
      </c>
      <c r="G7" s="32" t="inlineStr"/>
      <c r="H7" s="32" t="inlineStr"/>
      <c r="I7" s="32" t="inlineStr"/>
      <c r="J7" s="42" t="inlineStr"/>
      <c r="K7" s="42" t="inlineStr">
        <is>
          <t>Expenses vs. Target</t>
        </is>
      </c>
      <c r="L7" s="34" t="n">
        <v>0</v>
      </c>
      <c r="M7" s="34" t="n">
        <v>1</v>
      </c>
      <c r="N7" s="32" t="inlineStr">
        <is>
          <t>col 0, row 0, 8x4</t>
        </is>
      </c>
    </row>
    <row r="8">
      <c r="A8" s="37" t="inlineStr">
        <is>
          <t>Executive Dashboard</t>
        </is>
      </c>
      <c r="B8" s="37" t="inlineStr">
        <is>
          <t>PfKsJK</t>
        </is>
      </c>
      <c r="C8" s="37" t="inlineStr">
        <is>
          <t>KPI Dashboard</t>
        </is>
      </c>
      <c r="D8" s="37" t="inlineStr">
        <is>
          <t>tcxTY</t>
        </is>
      </c>
      <c r="E8" s="37" t="inlineStr">
        <is>
          <t>gauge</t>
        </is>
      </c>
      <c r="F8" s="37" t="inlineStr">
        <is>
          <t>'Revenue vs Last Year Revenue = '&amp; num(Sum({&lt;[Fiscal Year]={$(=vYTDYear)}, FiscalMonthNum={"&lt;=$(vCurrentMonthNum)"}&gt;}[Sales Price]*[Sales Quantity])/Sum({&lt;[Fiscal Year]={$(=(vYTDYear)-1)}, FiscalMonthNum={"&lt;=$(vCurrentMonthNum)"}&gt;}[Sales Price]*[Sales Quantity]), '#,##0%')</t>
        </is>
      </c>
      <c r="G8" s="37" t="inlineStr"/>
      <c r="H8" s="37" t="inlineStr"/>
      <c r="I8" s="37" t="inlineStr"/>
      <c r="J8" s="43" t="inlineStr"/>
      <c r="K8" s="43" t="inlineStr">
        <is>
          <t>Revenue vs. LY Revenue</t>
        </is>
      </c>
      <c r="L8" s="39" t="n">
        <v>0</v>
      </c>
      <c r="M8" s="39" t="n">
        <v>1</v>
      </c>
      <c r="N8" s="37" t="inlineStr">
        <is>
          <t>col 8, row 0, 8x4</t>
        </is>
      </c>
    </row>
    <row r="9">
      <c r="A9" s="32" t="inlineStr">
        <is>
          <t>Executive Dashboard</t>
        </is>
      </c>
      <c r="B9" s="32" t="inlineStr">
        <is>
          <t>PfKsJK</t>
        </is>
      </c>
      <c r="C9" s="32" t="inlineStr">
        <is>
          <t>KPI Dashboard</t>
        </is>
      </c>
      <c r="D9" s="32" t="inlineStr">
        <is>
          <t>MdpsUpA</t>
        </is>
      </c>
      <c r="E9" s="32" t="inlineStr">
        <is>
          <t>gauge</t>
        </is>
      </c>
      <c r="F9" s="32" t="inlineStr">
        <is>
          <t>'Account Receivable Overdue  =  ' &amp; num((Sum({&lt;[Fiscal Year]={$(vYTDYear)}&gt;} AROpen)-Sum({&lt;[Fiscal Year]={$(vYTDYear)}&gt;} ARCurrent))/Sum({&lt;[Fiscal Year]={$(vYTDYear)}&gt;} AROpen), '#,##0%')</t>
        </is>
      </c>
      <c r="G9" s="32" t="inlineStr"/>
      <c r="H9" s="32" t="inlineStr"/>
      <c r="I9" s="32" t="inlineStr"/>
      <c r="J9" s="42" t="inlineStr"/>
      <c r="K9" s="42" t="inlineStr">
        <is>
          <t>AR % Overdue</t>
        </is>
      </c>
      <c r="L9" s="34" t="n">
        <v>0</v>
      </c>
      <c r="M9" s="34" t="n">
        <v>1</v>
      </c>
      <c r="N9" s="32" t="inlineStr">
        <is>
          <t>col 16, row 0, 8x4</t>
        </is>
      </c>
    </row>
    <row r="10">
      <c r="A10" s="37" t="inlineStr">
        <is>
          <t>Executive Dashboard</t>
        </is>
      </c>
      <c r="B10" s="37" t="inlineStr">
        <is>
          <t>PfKsJK</t>
        </is>
      </c>
      <c r="C10" s="37" t="inlineStr">
        <is>
          <t>KPI Dashboard</t>
        </is>
      </c>
      <c r="D10" s="37" t="inlineStr">
        <is>
          <t>NaKQwM</t>
        </is>
      </c>
      <c r="E10" s="37" t="inlineStr">
        <is>
          <t>piechart</t>
        </is>
      </c>
      <c r="F10" s="37" t="inlineStr">
        <is>
          <t>Expenses by Accounts</t>
        </is>
      </c>
      <c r="G10" s="37" t="inlineStr"/>
      <c r="H10" s="37" t="inlineStr"/>
      <c r="I10" s="37" t="inlineStr"/>
      <c r="J10" s="43" t="inlineStr">
        <is>
          <t>Account</t>
        </is>
      </c>
      <c r="K10" s="43" t="inlineStr">
        <is>
          <t>Expense Amount</t>
        </is>
      </c>
      <c r="L10" s="39" t="n">
        <v>1</v>
      </c>
      <c r="M10" s="39" t="n">
        <v>1</v>
      </c>
      <c r="N10" s="37" t="inlineStr">
        <is>
          <t>col 0, row 4, 8x5</t>
        </is>
      </c>
    </row>
    <row r="11">
      <c r="A11" s="32" t="inlineStr">
        <is>
          <t>Executive Dashboard</t>
        </is>
      </c>
      <c r="B11" s="32" t="inlineStr">
        <is>
          <t>PfKsJK</t>
        </is>
      </c>
      <c r="C11" s="32" t="inlineStr">
        <is>
          <t>KPI Dashboard</t>
        </is>
      </c>
      <c r="D11" s="32" t="inlineStr">
        <is>
          <t>ZxDKp</t>
        </is>
      </c>
      <c r="E11" s="32" t="inlineStr">
        <is>
          <t>piechart</t>
        </is>
      </c>
      <c r="F11" s="32" t="inlineStr">
        <is>
          <t>Revenue by Products</t>
        </is>
      </c>
      <c r="G11" s="32" t="inlineStr"/>
      <c r="H11" s="32" t="inlineStr"/>
      <c r="I11" s="32" t="inlineStr"/>
      <c r="J11" s="42" t="inlineStr">
        <is>
          <t>Product Sub Group Desc</t>
        </is>
      </c>
      <c r="K11" s="42" t="inlineStr">
        <is>
          <t>Revenue</t>
        </is>
      </c>
      <c r="L11" s="34" t="n">
        <v>1</v>
      </c>
      <c r="M11" s="34" t="n">
        <v>1</v>
      </c>
      <c r="N11" s="32" t="inlineStr">
        <is>
          <t>col 8, row 4, 8x5</t>
        </is>
      </c>
    </row>
    <row r="12">
      <c r="A12" s="37" t="inlineStr">
        <is>
          <t>Executive Dashboard</t>
        </is>
      </c>
      <c r="B12" s="37" t="inlineStr">
        <is>
          <t>PfKsJK</t>
        </is>
      </c>
      <c r="C12" s="37" t="inlineStr">
        <is>
          <t>KPI Dashboard</t>
        </is>
      </c>
      <c r="D12" s="37" t="inlineStr">
        <is>
          <t>ARNmpdM</t>
        </is>
      </c>
      <c r="E12" s="37" t="inlineStr">
        <is>
          <t>piechart</t>
        </is>
      </c>
      <c r="F12" s="37" t="inlineStr">
        <is>
          <t>Amount Overdue by Customers</t>
        </is>
      </c>
      <c r="G12" s="37" t="inlineStr"/>
      <c r="H12" s="37" t="inlineStr"/>
      <c r="I12" s="37" t="inlineStr"/>
      <c r="J12" s="43" t="inlineStr">
        <is>
          <t>Customer</t>
        </is>
      </c>
      <c r="K12" s="43" t="inlineStr">
        <is>
          <t>Amount Overdue</t>
        </is>
      </c>
      <c r="L12" s="39" t="n">
        <v>1</v>
      </c>
      <c r="M12" s="39" t="n">
        <v>1</v>
      </c>
      <c r="N12" s="37" t="inlineStr">
        <is>
          <t>col 16, row 4, 8x5</t>
        </is>
      </c>
    </row>
    <row r="13">
      <c r="A13" s="32" t="inlineStr">
        <is>
          <t>Executive Dashboard</t>
        </is>
      </c>
      <c r="B13" s="32" t="inlineStr">
        <is>
          <t>PfKsJK</t>
        </is>
      </c>
      <c r="C13" s="32" t="inlineStr">
        <is>
          <t>KPI Dashboard</t>
        </is>
      </c>
      <c r="D13" s="32" t="inlineStr">
        <is>
          <t>JEBdZz</t>
        </is>
      </c>
      <c r="E13" s="32" t="inlineStr">
        <is>
          <t>linechart</t>
        </is>
      </c>
      <c r="F13" s="32" t="inlineStr">
        <is>
          <t>Expense Trend</t>
        </is>
      </c>
      <c r="G13" s="32" t="inlineStr"/>
      <c r="H13" s="32" t="inlineStr"/>
      <c r="I13" s="32" t="inlineStr"/>
      <c r="J13" s="42" t="inlineStr">
        <is>
          <t>Month</t>
        </is>
      </c>
      <c r="K13" s="42" t="inlineStr">
        <is>
          <t>Expense Amount</t>
        </is>
      </c>
      <c r="L13" s="34" t="n">
        <v>1</v>
      </c>
      <c r="M13" s="34" t="n">
        <v>1</v>
      </c>
      <c r="N13" s="32" t="inlineStr">
        <is>
          <t>col 0, row 9, 8x3</t>
        </is>
      </c>
    </row>
    <row r="14">
      <c r="A14" s="37" t="inlineStr">
        <is>
          <t>Executive Dashboard</t>
        </is>
      </c>
      <c r="B14" s="37" t="inlineStr">
        <is>
          <t>PfKsJK</t>
        </is>
      </c>
      <c r="C14" s="37" t="inlineStr">
        <is>
          <t>KPI Dashboard</t>
        </is>
      </c>
      <c r="D14" s="37" t="inlineStr">
        <is>
          <t>GJxgd</t>
        </is>
      </c>
      <c r="E14" s="37" t="inlineStr">
        <is>
          <t>linechart</t>
        </is>
      </c>
      <c r="F14" s="37" t="inlineStr">
        <is>
          <t>Revenue Trend</t>
        </is>
      </c>
      <c r="G14" s="37" t="inlineStr"/>
      <c r="H14" s="37" t="inlineStr"/>
      <c r="I14" s="37" t="inlineStr"/>
      <c r="J14" s="43" t="inlineStr">
        <is>
          <t>Month</t>
        </is>
      </c>
      <c r="K14" s="43" t="inlineStr">
        <is>
          <t>Revenue</t>
        </is>
      </c>
      <c r="L14" s="39" t="n">
        <v>1</v>
      </c>
      <c r="M14" s="39" t="n">
        <v>1</v>
      </c>
      <c r="N14" s="37" t="inlineStr">
        <is>
          <t>col 8, row 9, 8x3</t>
        </is>
      </c>
    </row>
    <row r="15">
      <c r="A15" s="32" t="inlineStr">
        <is>
          <t>Executive Dashboard</t>
        </is>
      </c>
      <c r="B15" s="32" t="inlineStr">
        <is>
          <t>PfKsJK</t>
        </is>
      </c>
      <c r="C15" s="32" t="inlineStr">
        <is>
          <t>KPI Dashboard</t>
        </is>
      </c>
      <c r="D15" s="32" t="inlineStr">
        <is>
          <t>QYthJs</t>
        </is>
      </c>
      <c r="E15" s="32" t="inlineStr">
        <is>
          <t>linechart</t>
        </is>
      </c>
      <c r="F15" s="32" t="inlineStr">
        <is>
          <t>AR Trend</t>
        </is>
      </c>
      <c r="G15" s="32" t="inlineStr"/>
      <c r="H15" s="32" t="inlineStr"/>
      <c r="I15" s="32" t="inlineStr"/>
      <c r="J15" s="42" t="inlineStr">
        <is>
          <t>Month</t>
        </is>
      </c>
      <c r="K15" s="42" t="inlineStr">
        <is>
          <t>AR Average Balance</t>
        </is>
      </c>
      <c r="L15" s="34" t="n">
        <v>1</v>
      </c>
      <c r="M15" s="34" t="n">
        <v>1</v>
      </c>
      <c r="N15" s="32" t="inlineStr">
        <is>
          <t>col 16, row 9, 8x3</t>
        </is>
      </c>
    </row>
    <row r="16">
      <c r="A16" s="37" t="inlineStr">
        <is>
          <t>Executive Dashboard</t>
        </is>
      </c>
      <c r="B16" s="37" t="inlineStr">
        <is>
          <t>JsCeVm</t>
        </is>
      </c>
      <c r="C16" s="37" t="inlineStr">
        <is>
          <t>Account Receivable Analysis</t>
        </is>
      </c>
      <c r="D16" s="37" t="inlineStr">
        <is>
          <t>YPPUPE</t>
        </is>
      </c>
      <c r="E16" s="37" t="inlineStr">
        <is>
          <t>treemap</t>
        </is>
      </c>
      <c r="F16" s="37" t="inlineStr">
        <is>
          <t>Revenue by Sales Rep</t>
        </is>
      </c>
      <c r="G16" s="37" t="inlineStr"/>
      <c r="H16" s="37" t="inlineStr"/>
      <c r="I16" s="37" t="inlineStr"/>
      <c r="J16" s="43" t="inlineStr">
        <is>
          <t>Segment; Sales Rep Name</t>
        </is>
      </c>
      <c r="K16" s="43" t="inlineStr">
        <is>
          <t>Revenue</t>
        </is>
      </c>
      <c r="L16" s="39" t="n">
        <v>2</v>
      </c>
      <c r="M16" s="39" t="n">
        <v>1</v>
      </c>
      <c r="N16" s="37" t="inlineStr">
        <is>
          <t>col 0, row 0, 6x12</t>
        </is>
      </c>
    </row>
    <row r="17">
      <c r="A17" s="32" t="inlineStr">
        <is>
          <t>Executive Dashboard</t>
        </is>
      </c>
      <c r="B17" s="32" t="inlineStr">
        <is>
          <t>JsCeVm</t>
        </is>
      </c>
      <c r="C17" s="32" t="inlineStr">
        <is>
          <t>Account Receivable Analysis</t>
        </is>
      </c>
      <c r="D17" s="32" t="inlineStr">
        <is>
          <t>trePT</t>
        </is>
      </c>
      <c r="E17" s="32" t="inlineStr">
        <is>
          <t>gauge</t>
        </is>
      </c>
      <c r="F17" s="32" t="inlineStr"/>
      <c r="G17" s="32" t="inlineStr"/>
      <c r="H17" s="32" t="inlineStr"/>
      <c r="I17" s="32" t="inlineStr"/>
      <c r="J17" s="42" t="inlineStr"/>
      <c r="K17" s="42" t="inlineStr">
        <is>
          <t>Margin %</t>
        </is>
      </c>
      <c r="L17" s="34" t="n">
        <v>0</v>
      </c>
      <c r="M17" s="34" t="n">
        <v>1</v>
      </c>
      <c r="N17" s="32" t="inlineStr">
        <is>
          <t>col 6, row 0, 3x4</t>
        </is>
      </c>
    </row>
    <row r="18">
      <c r="A18" s="37" t="inlineStr">
        <is>
          <t>Executive Dashboard</t>
        </is>
      </c>
      <c r="B18" s="37" t="inlineStr">
        <is>
          <t>JsCeVm</t>
        </is>
      </c>
      <c r="C18" s="37" t="inlineStr">
        <is>
          <t>Account Receivable Analysis</t>
        </is>
      </c>
      <c r="D18" s="37" t="inlineStr">
        <is>
          <t>ZFaWvw</t>
        </is>
      </c>
      <c r="E18" s="37" t="inlineStr">
        <is>
          <t>gauge</t>
        </is>
      </c>
      <c r="F18" s="37" t="inlineStr"/>
      <c r="G18" s="37" t="inlineStr"/>
      <c r="H18" s="37" t="inlineStr"/>
      <c r="I18" s="37" t="inlineStr"/>
      <c r="J18" s="43" t="inlineStr"/>
      <c r="K18" s="43" t="inlineStr">
        <is>
          <t>Days Sales Outstanding</t>
        </is>
      </c>
      <c r="L18" s="39" t="n">
        <v>0</v>
      </c>
      <c r="M18" s="39" t="n">
        <v>1</v>
      </c>
      <c r="N18" s="37" t="inlineStr">
        <is>
          <t>col 6, row 8, 3x4</t>
        </is>
      </c>
    </row>
    <row r="19">
      <c r="A19" s="32" t="inlineStr">
        <is>
          <t>Executive Dashboard</t>
        </is>
      </c>
      <c r="B19" s="32" t="inlineStr">
        <is>
          <t>JsCeVm</t>
        </is>
      </c>
      <c r="C19" s="32" t="inlineStr">
        <is>
          <t>Account Receivable Analysis</t>
        </is>
      </c>
      <c r="D19" s="32" t="inlineStr">
        <is>
          <t>VARhxUj</t>
        </is>
      </c>
      <c r="E19" s="32" t="inlineStr">
        <is>
          <t>gauge</t>
        </is>
      </c>
      <c r="F19" s="32" t="inlineStr"/>
      <c r="G19" s="32" t="inlineStr"/>
      <c r="H19" s="32" t="inlineStr"/>
      <c r="I19" s="32" t="inlineStr"/>
      <c r="J19" s="42" t="inlineStr"/>
      <c r="K19" s="42" t="inlineStr">
        <is>
          <t>AR % Overdue</t>
        </is>
      </c>
      <c r="L19" s="34" t="n">
        <v>0</v>
      </c>
      <c r="M19" s="34" t="n">
        <v>1</v>
      </c>
      <c r="N19" s="32" t="inlineStr">
        <is>
          <t>col 6, row 4, 3x4</t>
        </is>
      </c>
    </row>
    <row r="20">
      <c r="A20" s="37" t="inlineStr">
        <is>
          <t>Executive Dashboard</t>
        </is>
      </c>
      <c r="B20" s="37" t="inlineStr">
        <is>
          <t>JsCeVm</t>
        </is>
      </c>
      <c r="C20" s="37" t="inlineStr">
        <is>
          <t>Account Receivable Analysis</t>
        </is>
      </c>
      <c r="D20" s="37" t="inlineStr">
        <is>
          <t>BmfQbz</t>
        </is>
      </c>
      <c r="E20" s="37" t="inlineStr">
        <is>
          <t>scatterplot</t>
        </is>
      </c>
      <c r="F20" s="37" t="inlineStr">
        <is>
          <t>Sales vs Margin</t>
        </is>
      </c>
      <c r="G20" s="37" t="inlineStr"/>
      <c r="H20" s="37" t="inlineStr"/>
      <c r="I20" s="37" t="inlineStr"/>
      <c r="J20" s="43" t="inlineStr">
        <is>
          <t>Customer</t>
        </is>
      </c>
      <c r="K20" s="43" t="inlineStr">
        <is>
          <t>CY Sales; Margin %</t>
        </is>
      </c>
      <c r="L20" s="39" t="n">
        <v>1</v>
      </c>
      <c r="M20" s="39" t="n">
        <v>2</v>
      </c>
      <c r="N20" s="37" t="inlineStr">
        <is>
          <t>col 9, row 0, 8x4</t>
        </is>
      </c>
    </row>
    <row r="21">
      <c r="A21" s="32" t="inlineStr">
        <is>
          <t>Executive Dashboard</t>
        </is>
      </c>
      <c r="B21" s="32" t="inlineStr">
        <is>
          <t>JsCeVm</t>
        </is>
      </c>
      <c r="C21" s="32" t="inlineStr">
        <is>
          <t>Account Receivable Analysis</t>
        </is>
      </c>
      <c r="D21" s="32" t="inlineStr">
        <is>
          <t>mVPztHm</t>
        </is>
      </c>
      <c r="E21" s="32" t="inlineStr">
        <is>
          <t>scatterplot</t>
        </is>
      </c>
      <c r="F21" s="32" t="inlineStr">
        <is>
          <t>Amount Overdue vs DSO</t>
        </is>
      </c>
      <c r="G21" s="32" t="inlineStr"/>
      <c r="H21" s="32" t="inlineStr"/>
      <c r="I21" s="32" t="inlineStr"/>
      <c r="J21" s="42" t="inlineStr">
        <is>
          <t>Customer</t>
        </is>
      </c>
      <c r="K21" s="42" t="inlineStr">
        <is>
          <t>Days Sales Outstanding; Amount Overdue</t>
        </is>
      </c>
      <c r="L21" s="34" t="n">
        <v>1</v>
      </c>
      <c r="M21" s="34" t="n">
        <v>2</v>
      </c>
      <c r="N21" s="32" t="inlineStr">
        <is>
          <t>col 9, row 4, 8x4</t>
        </is>
      </c>
    </row>
    <row r="22">
      <c r="A22" s="37" t="inlineStr">
        <is>
          <t>Executive Dashboard</t>
        </is>
      </c>
      <c r="B22" s="37" t="inlineStr">
        <is>
          <t>JsCeVm</t>
        </is>
      </c>
      <c r="C22" s="37" t="inlineStr">
        <is>
          <t>Account Receivable Analysis</t>
        </is>
      </c>
      <c r="D22" s="37" t="inlineStr">
        <is>
          <t>NeLVr</t>
        </is>
      </c>
      <c r="E22" s="37" t="inlineStr">
        <is>
          <t>scatterplot</t>
        </is>
      </c>
      <c r="F22" s="37" t="inlineStr">
        <is>
          <t>Avg Sales Per Day vs AR Avg Balance</t>
        </is>
      </c>
      <c r="G22" s="37" t="inlineStr"/>
      <c r="H22" s="37" t="inlineStr"/>
      <c r="I22" s="37" t="inlineStr"/>
      <c r="J22" s="43" t="inlineStr">
        <is>
          <t>Customer</t>
        </is>
      </c>
      <c r="K22" s="43" t="inlineStr">
        <is>
          <t>AR Average Balance; Avg Sales Per Day</t>
        </is>
      </c>
      <c r="L22" s="39" t="n">
        <v>1</v>
      </c>
      <c r="M22" s="39" t="n">
        <v>2</v>
      </c>
      <c r="N22" s="37" t="inlineStr">
        <is>
          <t>col 9, row 8, 8x4</t>
        </is>
      </c>
    </row>
    <row r="23">
      <c r="A23" s="32" t="inlineStr">
        <is>
          <t>Executive Dashboard</t>
        </is>
      </c>
      <c r="B23" s="32" t="inlineStr">
        <is>
          <t>JsCeVm</t>
        </is>
      </c>
      <c r="C23" s="32" t="inlineStr">
        <is>
          <t>Account Receivable Analysis</t>
        </is>
      </c>
      <c r="D23" s="32" t="inlineStr">
        <is>
          <t>nnkLtpf</t>
        </is>
      </c>
      <c r="E23" s="32" t="inlineStr">
        <is>
          <t>table</t>
        </is>
      </c>
      <c r="F23" s="32" t="inlineStr">
        <is>
          <t>CY Sales vs LY Sales</t>
        </is>
      </c>
      <c r="G23" s="32" t="inlineStr"/>
      <c r="H23" s="32" t="inlineStr"/>
      <c r="I23" s="32" t="inlineStr"/>
      <c r="J23" s="42" t="inlineStr">
        <is>
          <t>Product</t>
        </is>
      </c>
      <c r="K23" s="42" t="inlineStr">
        <is>
          <t>CY Sales; LY Sales</t>
        </is>
      </c>
      <c r="L23" s="34" t="n">
        <v>1</v>
      </c>
      <c r="M23" s="34" t="n">
        <v>2</v>
      </c>
      <c r="N23" s="32" t="inlineStr">
        <is>
          <t>col 17, row 0, 7x12</t>
        </is>
      </c>
    </row>
    <row r="24">
      <c r="A24" s="37" t="inlineStr">
        <is>
          <t>Executive Dashboard</t>
        </is>
      </c>
      <c r="B24" s="37" t="inlineStr">
        <is>
          <t>FaQeFa</t>
        </is>
      </c>
      <c r="C24" s="37" t="inlineStr">
        <is>
          <t>Sales Analysis</t>
        </is>
      </c>
      <c r="D24" s="37" t="inlineStr">
        <is>
          <t>fzrxtjq</t>
        </is>
      </c>
      <c r="E24" s="37" t="inlineStr">
        <is>
          <t>scatterplot</t>
        </is>
      </c>
      <c r="F24" s="37" t="inlineStr">
        <is>
          <t>Sales vs Margin by Sales Rep</t>
        </is>
      </c>
      <c r="G24" s="37" t="inlineStr"/>
      <c r="H24" s="37" t="inlineStr"/>
      <c r="I24" s="37" t="inlineStr"/>
      <c r="J24" s="43" t="inlineStr">
        <is>
          <t>Sales Rep Name</t>
        </is>
      </c>
      <c r="K24" s="43" t="inlineStr">
        <is>
          <t>Margin %; Revenue</t>
        </is>
      </c>
      <c r="L24" s="39" t="n">
        <v>1</v>
      </c>
      <c r="M24" s="39" t="n">
        <v>2</v>
      </c>
      <c r="N24" s="37" t="inlineStr">
        <is>
          <t>col 0, row 1, 12x6</t>
        </is>
      </c>
    </row>
    <row r="25">
      <c r="A25" s="32" t="inlineStr">
        <is>
          <t>Executive Dashboard</t>
        </is>
      </c>
      <c r="B25" s="32" t="inlineStr">
        <is>
          <t>FaQeFa</t>
        </is>
      </c>
      <c r="C25" s="32" t="inlineStr">
        <is>
          <t>Sales Analysis</t>
        </is>
      </c>
      <c r="D25" s="32" t="inlineStr">
        <is>
          <t>nvqpV</t>
        </is>
      </c>
      <c r="E25" s="32" t="inlineStr">
        <is>
          <t>linechart</t>
        </is>
      </c>
      <c r="F25" s="32" t="inlineStr">
        <is>
          <t>Average Sales Per Day</t>
        </is>
      </c>
      <c r="G25" s="32" t="inlineStr"/>
      <c r="H25" s="32" t="inlineStr"/>
      <c r="I25" s="32" t="inlineStr"/>
      <c r="J25" s="42" t="inlineStr">
        <is>
          <t>Year Month</t>
        </is>
      </c>
      <c r="K25" s="42" t="inlineStr">
        <is>
          <t>Avg Sales Per Day</t>
        </is>
      </c>
      <c r="L25" s="34" t="n">
        <v>1</v>
      </c>
      <c r="M25" s="34" t="n">
        <v>1</v>
      </c>
      <c r="N25" s="32" t="inlineStr">
        <is>
          <t>col 0, row 7, 12x5</t>
        </is>
      </c>
    </row>
    <row r="26">
      <c r="A26" s="37" t="inlineStr">
        <is>
          <t>Executive Dashboard</t>
        </is>
      </c>
      <c r="B26" s="37" t="inlineStr">
        <is>
          <t>FaQeFa</t>
        </is>
      </c>
      <c r="C26" s="37" t="inlineStr">
        <is>
          <t>Sales Analysis</t>
        </is>
      </c>
      <c r="D26" s="37" t="inlineStr">
        <is>
          <t>qZPdytp</t>
        </is>
      </c>
      <c r="E26" s="37" t="inlineStr">
        <is>
          <t>barchart</t>
        </is>
      </c>
      <c r="F26" s="37" t="inlineStr">
        <is>
          <t>'Total Revenue by Product Group = ' &amp; num(Sum([Sales Quantity]*[Sales Price]), '$#,##0')</t>
        </is>
      </c>
      <c r="G26" s="37" t="inlineStr"/>
      <c r="H26" s="37" t="inlineStr"/>
      <c r="I26" s="37" t="inlineStr"/>
      <c r="J26" s="43" t="inlineStr">
        <is>
          <t>Product Sub Group Desc</t>
        </is>
      </c>
      <c r="K26" s="43" t="inlineStr">
        <is>
          <t>Revenue</t>
        </is>
      </c>
      <c r="L26" s="39" t="n">
        <v>1</v>
      </c>
      <c r="M26" s="39" t="n">
        <v>1</v>
      </c>
      <c r="N26" s="37" t="inlineStr">
        <is>
          <t>col 12, row 1, 12x11</t>
        </is>
      </c>
    </row>
    <row r="27">
      <c r="A27" s="32" t="inlineStr">
        <is>
          <t>Executive Dashboard</t>
        </is>
      </c>
      <c r="B27" s="32" t="inlineStr">
        <is>
          <t>FaQeFa</t>
        </is>
      </c>
      <c r="C27" s="32" t="inlineStr">
        <is>
          <t>Sales Analysis</t>
        </is>
      </c>
      <c r="D27" s="32" t="inlineStr">
        <is>
          <t>jRMGQG</t>
        </is>
      </c>
      <c r="E27" s="32" t="inlineStr">
        <is>
          <t>filterpane</t>
        </is>
      </c>
      <c r="F27" s="32" t="inlineStr"/>
      <c r="G27" s="32" t="inlineStr"/>
      <c r="H27" s="32" t="inlineStr"/>
      <c r="I27" s="32" t="inlineStr"/>
      <c r="J27" s="42" t="inlineStr"/>
      <c r="K27" s="42" t="inlineStr"/>
      <c r="L27" s="34" t="n">
        <v>0</v>
      </c>
      <c r="M27" s="34" t="n">
        <v>0</v>
      </c>
      <c r="N27" s="32" t="inlineStr">
        <is>
          <t>col 0, row 0, 24x1</t>
        </is>
      </c>
    </row>
    <row r="28">
      <c r="A28" s="37" t="inlineStr">
        <is>
          <t>Executive Dashboard</t>
        </is>
      </c>
      <c r="B28" s="37" t="inlineStr">
        <is>
          <t>FaQeFa</t>
        </is>
      </c>
      <c r="C28" s="37" t="inlineStr">
        <is>
          <t>Sales Analysis</t>
        </is>
      </c>
      <c r="D28" s="37" t="inlineStr">
        <is>
          <t>nURpk</t>
        </is>
      </c>
      <c r="E28" s="37" t="inlineStr">
        <is>
          <t>listbox</t>
        </is>
      </c>
      <c r="F28" s="37" t="inlineStr">
        <is>
          <t>Segment</t>
        </is>
      </c>
      <c r="G28" s="37" t="inlineStr">
        <is>
          <t>jRMGQG</t>
        </is>
      </c>
      <c r="H28" s="37" t="inlineStr"/>
      <c r="I28" s="37" t="inlineStr"/>
      <c r="J28" s="43" t="inlineStr">
        <is>
          <t>Segment</t>
        </is>
      </c>
      <c r="K28" s="43" t="inlineStr"/>
      <c r="L28" s="39" t="n">
        <v>1</v>
      </c>
      <c r="M28" s="39" t="n">
        <v>0</v>
      </c>
      <c r="N28" s="37" t="inlineStr"/>
    </row>
    <row r="29">
      <c r="A29" s="32" t="inlineStr">
        <is>
          <t>Executive Dashboard</t>
        </is>
      </c>
      <c r="B29" s="32" t="inlineStr">
        <is>
          <t>FaQeFa</t>
        </is>
      </c>
      <c r="C29" s="32" t="inlineStr">
        <is>
          <t>Sales Analysis</t>
        </is>
      </c>
      <c r="D29" s="32" t="inlineStr">
        <is>
          <t>pdLG</t>
        </is>
      </c>
      <c r="E29" s="32" t="inlineStr">
        <is>
          <t>listbox</t>
        </is>
      </c>
      <c r="F29" s="32" t="inlineStr">
        <is>
          <t>Region</t>
        </is>
      </c>
      <c r="G29" s="32" t="inlineStr">
        <is>
          <t>jRMGQG</t>
        </is>
      </c>
      <c r="H29" s="32" t="inlineStr"/>
      <c r="I29" s="32" t="inlineStr"/>
      <c r="J29" s="42" t="inlineStr">
        <is>
          <t>Region</t>
        </is>
      </c>
      <c r="K29" s="42" t="inlineStr"/>
      <c r="L29" s="34" t="n">
        <v>1</v>
      </c>
      <c r="M29" s="34" t="n">
        <v>0</v>
      </c>
      <c r="N29" s="32" t="inlineStr"/>
    </row>
    <row r="30">
      <c r="A30" s="37" t="inlineStr">
        <is>
          <t>Executive Dashboard</t>
        </is>
      </c>
      <c r="B30" s="37" t="inlineStr">
        <is>
          <t>FaQeFa</t>
        </is>
      </c>
      <c r="C30" s="37" t="inlineStr">
        <is>
          <t>Sales Analysis</t>
        </is>
      </c>
      <c r="D30" s="37" t="inlineStr">
        <is>
          <t>BArut</t>
        </is>
      </c>
      <c r="E30" s="37" t="inlineStr">
        <is>
          <t>listbox</t>
        </is>
      </c>
      <c r="F30" s="37" t="inlineStr">
        <is>
          <t>Sales Rep Name</t>
        </is>
      </c>
      <c r="G30" s="37" t="inlineStr">
        <is>
          <t>jRMGQG</t>
        </is>
      </c>
      <c r="H30" s="37" t="inlineStr"/>
      <c r="I30" s="37" t="inlineStr"/>
      <c r="J30" s="43" t="inlineStr">
        <is>
          <t>Sales Rep Name</t>
        </is>
      </c>
      <c r="K30" s="43" t="inlineStr"/>
      <c r="L30" s="39" t="n">
        <v>1</v>
      </c>
      <c r="M30" s="39" t="n">
        <v>0</v>
      </c>
      <c r="N30" s="37" t="inlineStr"/>
    </row>
    <row r="31">
      <c r="A31" s="32" t="inlineStr">
        <is>
          <t>Executive Dashboard</t>
        </is>
      </c>
      <c r="B31" s="32" t="inlineStr">
        <is>
          <t>FaQeFa</t>
        </is>
      </c>
      <c r="C31" s="32" t="inlineStr">
        <is>
          <t>Sales Analysis</t>
        </is>
      </c>
      <c r="D31" s="32" t="inlineStr">
        <is>
          <t>RdNtA</t>
        </is>
      </c>
      <c r="E31" s="32" t="inlineStr">
        <is>
          <t>listbox</t>
        </is>
      </c>
      <c r="F31" s="32" t="inlineStr">
        <is>
          <t>Product Group</t>
        </is>
      </c>
      <c r="G31" s="32" t="inlineStr">
        <is>
          <t>jRMGQG</t>
        </is>
      </c>
      <c r="H31" s="32" t="inlineStr"/>
      <c r="I31" s="32" t="inlineStr"/>
      <c r="J31" s="42" t="inlineStr">
        <is>
          <t>Product Group</t>
        </is>
      </c>
      <c r="K31" s="42" t="inlineStr"/>
      <c r="L31" s="34" t="n">
        <v>1</v>
      </c>
      <c r="M31" s="34" t="n">
        <v>0</v>
      </c>
      <c r="N31" s="32" t="inlineStr"/>
    </row>
    <row r="32">
      <c r="A32" s="37" t="inlineStr">
        <is>
          <t>Helpdesk Management</t>
        </is>
      </c>
      <c r="B32" s="37" t="inlineStr">
        <is>
          <t>VkcYvCR</t>
        </is>
      </c>
      <c r="C32" s="37" t="inlineStr">
        <is>
          <t>Case Details</t>
        </is>
      </c>
      <c r="D32" s="37" t="inlineStr">
        <is>
          <t>ycppXj</t>
        </is>
      </c>
      <c r="E32" s="37" t="inlineStr">
        <is>
          <t>filterpane</t>
        </is>
      </c>
      <c r="F32" s="37" t="inlineStr">
        <is>
          <t>Filters</t>
        </is>
      </c>
      <c r="G32" s="37" t="inlineStr"/>
      <c r="H32" s="37" t="inlineStr"/>
      <c r="I32" s="37" t="inlineStr"/>
      <c r="J32" s="43" t="inlineStr"/>
      <c r="K32" s="43" t="inlineStr"/>
      <c r="L32" s="39" t="n">
        <v>0</v>
      </c>
      <c r="M32" s="39" t="n">
        <v>0</v>
      </c>
      <c r="N32" s="37" t="inlineStr">
        <is>
          <t>col 0, row 0, 24x1</t>
        </is>
      </c>
    </row>
    <row r="33">
      <c r="A33" s="32" t="inlineStr">
        <is>
          <t>Helpdesk Management</t>
        </is>
      </c>
      <c r="B33" s="32" t="inlineStr">
        <is>
          <t>VkcYvCR</t>
        </is>
      </c>
      <c r="C33" s="32" t="inlineStr">
        <is>
          <t>Case Details</t>
        </is>
      </c>
      <c r="D33" s="32" t="inlineStr">
        <is>
          <t>dEDkpN</t>
        </is>
      </c>
      <c r="E33" s="32" t="inlineStr">
        <is>
          <t>listbox</t>
        </is>
      </c>
      <c r="F33" s="32" t="inlineStr">
        <is>
          <t>Cases Open/Closed</t>
        </is>
      </c>
      <c r="G33" s="32" t="inlineStr">
        <is>
          <t>ycppXj</t>
        </is>
      </c>
      <c r="H33" s="32" t="inlineStr"/>
      <c r="I33" s="32" t="inlineStr"/>
      <c r="J33" s="42" t="inlineStr">
        <is>
          <t>Cases Open/Closed</t>
        </is>
      </c>
      <c r="K33" s="42" t="inlineStr"/>
      <c r="L33" s="34" t="n">
        <v>1</v>
      </c>
      <c r="M33" s="34" t="n">
        <v>0</v>
      </c>
      <c r="N33" s="32" t="inlineStr"/>
    </row>
    <row r="34">
      <c r="A34" s="37" t="inlineStr">
        <is>
          <t>Helpdesk Management</t>
        </is>
      </c>
      <c r="B34" s="37" t="inlineStr">
        <is>
          <t>VkcYvCR</t>
        </is>
      </c>
      <c r="C34" s="37" t="inlineStr">
        <is>
          <t>Case Details</t>
        </is>
      </c>
      <c r="D34" s="37" t="inlineStr">
        <is>
          <t>pKBGKm</t>
        </is>
      </c>
      <c r="E34" s="37" t="inlineStr">
        <is>
          <t>listbox</t>
        </is>
      </c>
      <c r="F34" s="37" t="inlineStr">
        <is>
          <t>Priority</t>
        </is>
      </c>
      <c r="G34" s="37" t="inlineStr">
        <is>
          <t>ycppXj</t>
        </is>
      </c>
      <c r="H34" s="37" t="inlineStr"/>
      <c r="I34" s="37" t="inlineStr"/>
      <c r="J34" s="43" t="inlineStr">
        <is>
          <t>Priority</t>
        </is>
      </c>
      <c r="K34" s="43" t="inlineStr"/>
      <c r="L34" s="39" t="n">
        <v>1</v>
      </c>
      <c r="M34" s="39" t="n">
        <v>0</v>
      </c>
      <c r="N34" s="37" t="inlineStr"/>
    </row>
    <row r="35">
      <c r="A35" s="32" t="inlineStr">
        <is>
          <t>Helpdesk Management</t>
        </is>
      </c>
      <c r="B35" s="32" t="inlineStr">
        <is>
          <t>VkcYvCR</t>
        </is>
      </c>
      <c r="C35" s="32" t="inlineStr">
        <is>
          <t>Case Details</t>
        </is>
      </c>
      <c r="D35" s="32" t="inlineStr">
        <is>
          <t>JEPxkM</t>
        </is>
      </c>
      <c r="E35" s="32" t="inlineStr">
        <is>
          <t>listbox</t>
        </is>
      </c>
      <c r="F35" s="32" t="inlineStr">
        <is>
          <t>IT Resources</t>
        </is>
      </c>
      <c r="G35" s="32" t="inlineStr">
        <is>
          <t>ycppXj</t>
        </is>
      </c>
      <c r="H35" s="32" t="inlineStr"/>
      <c r="I35" s="32" t="inlineStr"/>
      <c r="J35" s="42" t="inlineStr">
        <is>
          <t>Case Owner</t>
        </is>
      </c>
      <c r="K35" s="42" t="inlineStr"/>
      <c r="L35" s="34" t="n">
        <v>1</v>
      </c>
      <c r="M35" s="34" t="n">
        <v>0</v>
      </c>
      <c r="N35" s="32" t="inlineStr"/>
    </row>
    <row r="36">
      <c r="A36" s="37" t="inlineStr">
        <is>
          <t>Helpdesk Management</t>
        </is>
      </c>
      <c r="B36" s="37" t="inlineStr">
        <is>
          <t>VkcYvCR</t>
        </is>
      </c>
      <c r="C36" s="37" t="inlineStr">
        <is>
          <t>Case Details</t>
        </is>
      </c>
      <c r="D36" s="37" t="inlineStr">
        <is>
          <t>WfWFp</t>
        </is>
      </c>
      <c r="E36" s="37" t="inlineStr">
        <is>
          <t>listbox</t>
        </is>
      </c>
      <c r="F36" s="37" t="inlineStr">
        <is>
          <t>Request Type</t>
        </is>
      </c>
      <c r="G36" s="37" t="inlineStr">
        <is>
          <t>ycppXj</t>
        </is>
      </c>
      <c r="H36" s="37" t="inlineStr"/>
      <c r="I36" s="37" t="inlineStr"/>
      <c r="J36" s="43" t="inlineStr">
        <is>
          <t>Case Record Type</t>
        </is>
      </c>
      <c r="K36" s="43" t="inlineStr"/>
      <c r="L36" s="39" t="n">
        <v>1</v>
      </c>
      <c r="M36" s="39" t="n">
        <v>0</v>
      </c>
      <c r="N36" s="37" t="inlineStr"/>
    </row>
    <row r="37">
      <c r="A37" s="32" t="inlineStr">
        <is>
          <t>Helpdesk Management</t>
        </is>
      </c>
      <c r="B37" s="32" t="inlineStr">
        <is>
          <t>VkcYvCR</t>
        </is>
      </c>
      <c r="C37" s="32" t="inlineStr">
        <is>
          <t>Case Details</t>
        </is>
      </c>
      <c r="D37" s="32" t="inlineStr">
        <is>
          <t>LZqevwG</t>
        </is>
      </c>
      <c r="E37" s="32" t="inlineStr">
        <is>
          <t>listbox</t>
        </is>
      </c>
      <c r="F37" s="32" t="inlineStr">
        <is>
          <t>Department</t>
        </is>
      </c>
      <c r="G37" s="32" t="inlineStr">
        <is>
          <t>ycppXj</t>
        </is>
      </c>
      <c r="H37" s="32" t="inlineStr"/>
      <c r="I37" s="32" t="inlineStr"/>
      <c r="J37" s="42" t="inlineStr">
        <is>
          <t>Case Owner Group</t>
        </is>
      </c>
      <c r="K37" s="42" t="inlineStr"/>
      <c r="L37" s="34" t="n">
        <v>1</v>
      </c>
      <c r="M37" s="34" t="n">
        <v>0</v>
      </c>
      <c r="N37" s="32" t="inlineStr"/>
    </row>
    <row r="38">
      <c r="A38" s="37" t="inlineStr">
        <is>
          <t>Helpdesk Management</t>
        </is>
      </c>
      <c r="B38" s="37" t="inlineStr">
        <is>
          <t>VkcYvCR</t>
        </is>
      </c>
      <c r="C38" s="37" t="inlineStr">
        <is>
          <t>Case Details</t>
        </is>
      </c>
      <c r="D38" s="37" t="inlineStr">
        <is>
          <t>rJFbvG</t>
        </is>
      </c>
      <c r="E38" s="37" t="inlineStr">
        <is>
          <t>table</t>
        </is>
      </c>
      <c r="F38" s="37" t="inlineStr">
        <is>
          <t>='Case Details: ' &amp;  Num(Count(distinct %CaseId),'#,##0')  &amp; ' Cases'</t>
        </is>
      </c>
      <c r="G38" s="37" t="inlineStr"/>
      <c r="H38" s="37" t="inlineStr"/>
      <c r="I38" s="37" t="inlineStr"/>
      <c r="J38" s="43" t="inlineStr">
        <is>
          <t>CaseNumber; Subject; Case Owner; Status; Case Created Date; Case Closed Date</t>
        </is>
      </c>
      <c r="K38" s="43" t="inlineStr">
        <is>
          <t>Case Duration (dd hh:mm)</t>
        </is>
      </c>
      <c r="L38" s="39" t="n">
        <v>6</v>
      </c>
      <c r="M38" s="39" t="n">
        <v>1</v>
      </c>
      <c r="N38" s="37" t="inlineStr">
        <is>
          <t>col 0, row 1, 24x11</t>
        </is>
      </c>
    </row>
    <row r="39">
      <c r="A39" s="32" t="inlineStr">
        <is>
          <t>Helpdesk Management</t>
        </is>
      </c>
      <c r="B39" s="32" t="inlineStr">
        <is>
          <t>kHgmg</t>
        </is>
      </c>
      <c r="C39" s="32" t="inlineStr">
        <is>
          <t>Performance</t>
        </is>
      </c>
      <c r="D39" s="32" t="inlineStr">
        <is>
          <t>uETyGUP</t>
        </is>
      </c>
      <c r="E39" s="32" t="inlineStr">
        <is>
          <t>table</t>
        </is>
      </c>
      <c r="F39" s="32" t="inlineStr">
        <is>
          <t>Resource Details</t>
        </is>
      </c>
      <c r="G39" s="32" t="inlineStr"/>
      <c r="H39" s="32" t="inlineStr"/>
      <c r="I39" s="32" t="inlineStr"/>
      <c r="J39" s="42" t="inlineStr">
        <is>
          <t>Case Owner; Status</t>
        </is>
      </c>
      <c r="K39" s="42" t="inlineStr">
        <is>
          <t>Tenure; Open Cases; Closed Cases; Total Cases; Open Cases - High; Open Cases - Medium; Open Cases - Low; Avg Case Duration</t>
        </is>
      </c>
      <c r="L39" s="34" t="n">
        <v>2</v>
      </c>
      <c r="M39" s="34" t="n">
        <v>8</v>
      </c>
      <c r="N39" s="32" t="inlineStr">
        <is>
          <t>col 0, row 6, 24x6</t>
        </is>
      </c>
    </row>
    <row r="40">
      <c r="A40" s="37" t="inlineStr">
        <is>
          <t>Helpdesk Management</t>
        </is>
      </c>
      <c r="B40" s="37" t="inlineStr">
        <is>
          <t>kHgmg</t>
        </is>
      </c>
      <c r="C40" s="37" t="inlineStr">
        <is>
          <t>Performance</t>
        </is>
      </c>
      <c r="D40" s="37" t="inlineStr">
        <is>
          <t>xfvKMP</t>
        </is>
      </c>
      <c r="E40" s="37" t="inlineStr">
        <is>
          <t>linechart</t>
        </is>
      </c>
      <c r="F40" s="37" t="inlineStr">
        <is>
          <t>New Cases by Department over time</t>
        </is>
      </c>
      <c r="G40" s="37" t="inlineStr"/>
      <c r="H40" s="37" t="inlineStr"/>
      <c r="I40" s="37" t="inlineStr"/>
      <c r="J40" s="43" t="inlineStr">
        <is>
          <t>YearMonth; Department</t>
        </is>
      </c>
      <c r="K40" s="43" t="inlineStr">
        <is>
          <t>Cumulative New Cases</t>
        </is>
      </c>
      <c r="L40" s="39" t="n">
        <v>2</v>
      </c>
      <c r="M40" s="39" t="n">
        <v>1</v>
      </c>
      <c r="N40" s="37" t="inlineStr">
        <is>
          <t>col 8, row 0, 16x6</t>
        </is>
      </c>
    </row>
    <row r="41">
      <c r="A41" s="32" t="inlineStr">
        <is>
          <t>Helpdesk Management</t>
        </is>
      </c>
      <c r="B41" s="32" t="inlineStr">
        <is>
          <t>kHgmg</t>
        </is>
      </c>
      <c r="C41" s="32" t="inlineStr">
        <is>
          <t>Performance</t>
        </is>
      </c>
      <c r="D41" s="32" t="inlineStr">
        <is>
          <t>PAppmU</t>
        </is>
      </c>
      <c r="E41" s="32" t="inlineStr">
        <is>
          <t>piechart</t>
        </is>
      </c>
      <c r="F41" s="32" t="inlineStr">
        <is>
          <t>Open Cases by Age</t>
        </is>
      </c>
      <c r="G41" s="32" t="inlineStr"/>
      <c r="H41" s="32" t="inlineStr"/>
      <c r="I41" s="32" t="inlineStr"/>
      <c r="J41" s="42" t="inlineStr">
        <is>
          <t>Case Timetable</t>
        </is>
      </c>
      <c r="K41" s="42" t="inlineStr">
        <is>
          <t>Open Cases</t>
        </is>
      </c>
      <c r="L41" s="34" t="n">
        <v>1</v>
      </c>
      <c r="M41" s="34" t="n">
        <v>1</v>
      </c>
      <c r="N41" s="32" t="inlineStr">
        <is>
          <t>col 0, row 0, 8x6</t>
        </is>
      </c>
    </row>
    <row r="42">
      <c r="A42" s="37" t="inlineStr">
        <is>
          <t>Helpdesk Management</t>
        </is>
      </c>
      <c r="B42" s="37" t="inlineStr">
        <is>
          <t>1ff88551-9c4d-41e0-b790-37f4c11d3df8</t>
        </is>
      </c>
      <c r="C42" s="37" t="inlineStr">
        <is>
          <t>Dashboard</t>
        </is>
      </c>
      <c r="D42" s="37" t="inlineStr">
        <is>
          <t>a5e0f12c-38f5-4da9-8f3f-0e4566b28398</t>
        </is>
      </c>
      <c r="E42" s="37" t="inlineStr">
        <is>
          <t>barchart</t>
        </is>
      </c>
      <c r="F42" s="37" t="inlineStr">
        <is>
          <t>Avg Case Resolution Time (Days)</t>
        </is>
      </c>
      <c r="G42" s="37" t="inlineStr"/>
      <c r="H42" s="37" t="inlineStr"/>
      <c r="I42" s="37" t="inlineStr"/>
      <c r="J42" s="43" t="inlineStr">
        <is>
          <t>Case Owner Group</t>
        </is>
      </c>
      <c r="K42" s="43" t="inlineStr">
        <is>
          <t>Avg Case Duration</t>
        </is>
      </c>
      <c r="L42" s="39" t="n">
        <v>1</v>
      </c>
      <c r="M42" s="39" t="n">
        <v>1</v>
      </c>
      <c r="N42" s="37" t="inlineStr">
        <is>
          <t>col 16, row 0, 8x7</t>
        </is>
      </c>
    </row>
    <row r="43">
      <c r="A43" s="32" t="inlineStr">
        <is>
          <t>Helpdesk Management</t>
        </is>
      </c>
      <c r="B43" s="32" t="inlineStr">
        <is>
          <t>1ff88551-9c4d-41e0-b790-37f4c11d3df8</t>
        </is>
      </c>
      <c r="C43" s="32" t="inlineStr">
        <is>
          <t>Dashboard</t>
        </is>
      </c>
      <c r="D43" s="32" t="inlineStr">
        <is>
          <t>298bbd6d-f23d-4469-94a2-df243d680e0c</t>
        </is>
      </c>
      <c r="E43" s="32" t="inlineStr">
        <is>
          <t>scatterplot</t>
        </is>
      </c>
      <c r="F43" s="32" t="inlineStr">
        <is>
          <t>Open Cases vs Duration</t>
        </is>
      </c>
      <c r="G43" s="32" t="inlineStr"/>
      <c r="H43" s="32" t="inlineStr"/>
      <c r="I43" s="32" t="inlineStr"/>
      <c r="J43" s="42" t="inlineStr">
        <is>
          <t>Case Owner</t>
        </is>
      </c>
      <c r="K43" s="42" t="inlineStr">
        <is>
          <t>Avg Case Duration; Open Cases</t>
        </is>
      </c>
      <c r="L43" s="34" t="n">
        <v>1</v>
      </c>
      <c r="M43" s="34" t="n">
        <v>2</v>
      </c>
      <c r="N43" s="32" t="inlineStr">
        <is>
          <t>col 5, row 0, 11x7</t>
        </is>
      </c>
    </row>
    <row r="44">
      <c r="A44" s="37" t="inlineStr">
        <is>
          <t>Helpdesk Management</t>
        </is>
      </c>
      <c r="B44" s="37" t="inlineStr">
        <is>
          <t>1ff88551-9c4d-41e0-b790-37f4c11d3df8</t>
        </is>
      </c>
      <c r="C44" s="37" t="inlineStr">
        <is>
          <t>Dashboard</t>
        </is>
      </c>
      <c r="D44" s="37" t="inlineStr">
        <is>
          <t>hRZaKk</t>
        </is>
      </c>
      <c r="E44" s="37" t="inlineStr">
        <is>
          <t>linechart</t>
        </is>
      </c>
      <c r="F44" s="37" t="inlineStr">
        <is>
          <t>Open &amp; Resolved Cases Over Time</t>
        </is>
      </c>
      <c r="G44" s="37" t="inlineStr"/>
      <c r="H44" s="37" t="inlineStr"/>
      <c r="I44" s="37" t="inlineStr"/>
      <c r="J44" s="43" t="inlineStr">
        <is>
          <t>Date</t>
        </is>
      </c>
      <c r="K44" s="43" t="inlineStr">
        <is>
          <t>Cumulative New Cases; Cumulative Closed Cases</t>
        </is>
      </c>
      <c r="L44" s="39" t="n">
        <v>1</v>
      </c>
      <c r="M44" s="39" t="n">
        <v>2</v>
      </c>
      <c r="N44" s="37" t="inlineStr">
        <is>
          <t>col 5, row 7, 19x5</t>
        </is>
      </c>
    </row>
    <row r="45">
      <c r="A45" s="32" t="inlineStr">
        <is>
          <t>Helpdesk Management</t>
        </is>
      </c>
      <c r="B45" s="32" t="inlineStr">
        <is>
          <t>1ff88551-9c4d-41e0-b790-37f4c11d3df8</t>
        </is>
      </c>
      <c r="C45" s="32" t="inlineStr">
        <is>
          <t>Dashboard</t>
        </is>
      </c>
      <c r="D45" s="32" t="inlineStr">
        <is>
          <t>RuTpzNW</t>
        </is>
      </c>
      <c r="E45" s="32" t="inlineStr">
        <is>
          <t>kpi</t>
        </is>
      </c>
      <c r="F45" s="32" t="inlineStr"/>
      <c r="G45" s="32" t="inlineStr"/>
      <c r="H45" s="32" t="inlineStr"/>
      <c r="I45" s="32" t="inlineStr"/>
      <c r="J45" s="42" t="inlineStr"/>
      <c r="K45" s="42" t="inlineStr">
        <is>
          <t>High Priority Cases</t>
        </is>
      </c>
      <c r="L45" s="34" t="n">
        <v>0</v>
      </c>
      <c r="M45" s="34" t="n">
        <v>1</v>
      </c>
      <c r="N45" s="32" t="inlineStr">
        <is>
          <t>col 0, row 0, 5x4</t>
        </is>
      </c>
    </row>
    <row r="46">
      <c r="A46" s="37" t="inlineStr">
        <is>
          <t>Helpdesk Management</t>
        </is>
      </c>
      <c r="B46" s="37" t="inlineStr">
        <is>
          <t>1ff88551-9c4d-41e0-b790-37f4c11d3df8</t>
        </is>
      </c>
      <c r="C46" s="37" t="inlineStr">
        <is>
          <t>Dashboard</t>
        </is>
      </c>
      <c r="D46" s="37" t="inlineStr">
        <is>
          <t>JARjh</t>
        </is>
      </c>
      <c r="E46" s="37" t="inlineStr">
        <is>
          <t>kpi</t>
        </is>
      </c>
      <c r="F46" s="37" t="inlineStr"/>
      <c r="G46" s="37" t="inlineStr"/>
      <c r="H46" s="37" t="inlineStr"/>
      <c r="I46" s="37" t="inlineStr"/>
      <c r="J46" s="43" t="inlineStr"/>
      <c r="K46" s="43" t="inlineStr">
        <is>
          <t>Medium Priority Cases</t>
        </is>
      </c>
      <c r="L46" s="39" t="n">
        <v>0</v>
      </c>
      <c r="M46" s="39" t="n">
        <v>1</v>
      </c>
      <c r="N46" s="37" t="inlineStr">
        <is>
          <t>col 0, row 4, 5x4</t>
        </is>
      </c>
    </row>
    <row r="47">
      <c r="A47" s="32" t="inlineStr">
        <is>
          <t>Helpdesk Management</t>
        </is>
      </c>
      <c r="B47" s="32" t="inlineStr">
        <is>
          <t>1ff88551-9c4d-41e0-b790-37f4c11d3df8</t>
        </is>
      </c>
      <c r="C47" s="32" t="inlineStr">
        <is>
          <t>Dashboard</t>
        </is>
      </c>
      <c r="D47" s="32" t="inlineStr">
        <is>
          <t>JsVPe</t>
        </is>
      </c>
      <c r="E47" s="32" t="inlineStr">
        <is>
          <t>kpi</t>
        </is>
      </c>
      <c r="F47" s="32" t="inlineStr"/>
      <c r="G47" s="32" t="inlineStr"/>
      <c r="H47" s="32" t="inlineStr"/>
      <c r="I47" s="32" t="inlineStr"/>
      <c r="J47" s="42" t="inlineStr"/>
      <c r="K47" s="42" t="inlineStr">
        <is>
          <t>Low Priority Cases</t>
        </is>
      </c>
      <c r="L47" s="34" t="n">
        <v>0</v>
      </c>
      <c r="M47" s="34" t="n">
        <v>1</v>
      </c>
      <c r="N47" s="32" t="inlineStr">
        <is>
          <t>col 0, row 8, 5x4</t>
        </is>
      </c>
    </row>
    <row r="48">
      <c r="A48" s="37" t="inlineStr">
        <is>
          <t>Sales Analysis</t>
        </is>
      </c>
      <c r="B48" s="37" t="inlineStr">
        <is>
          <t>RpwpQEp</t>
        </is>
      </c>
      <c r="C48" s="37" t="inlineStr">
        <is>
          <t>Il mio nuovo foglio</t>
        </is>
      </c>
      <c r="D48" s="37" t="inlineStr">
        <is>
          <t>sbVLvau</t>
        </is>
      </c>
      <c r="E48" s="37" t="inlineStr">
        <is>
          <t>barchart</t>
        </is>
      </c>
      <c r="F48" s="37" t="inlineStr"/>
      <c r="G48" s="37" t="inlineStr"/>
      <c r="H48" s="37" t="inlineStr"/>
      <c r="I48" s="37" t="inlineStr"/>
      <c r="J48" s="43" t="inlineStr">
        <is>
          <t>Category</t>
        </is>
      </c>
      <c r="K48" s="43" t="inlineStr">
        <is>
          <t>Sales</t>
        </is>
      </c>
      <c r="L48" s="39" t="n">
        <v>1</v>
      </c>
      <c r="M48" s="39" t="n">
        <v>1</v>
      </c>
      <c r="N48" s="37" t="inlineStr">
        <is>
          <t>col 0, row 0, 12x12</t>
        </is>
      </c>
    </row>
    <row r="49">
      <c r="A49" s="32" t="inlineStr">
        <is>
          <t>Sales Analysis</t>
        </is>
      </c>
      <c r="B49" s="32" t="inlineStr">
        <is>
          <t>RpwpQEp</t>
        </is>
      </c>
      <c r="C49" s="32" t="inlineStr">
        <is>
          <t>Il mio nuovo foglio</t>
        </is>
      </c>
      <c r="D49" s="32" t="inlineStr">
        <is>
          <t>TbfcPf</t>
        </is>
      </c>
      <c r="E49" s="32" t="inlineStr">
        <is>
          <t>kpi</t>
        </is>
      </c>
      <c r="F49" s="32" t="inlineStr"/>
      <c r="G49" s="32" t="inlineStr"/>
      <c r="H49" s="32" t="inlineStr"/>
      <c r="I49" s="32" t="inlineStr"/>
      <c r="J49" s="42" t="inlineStr"/>
      <c r="K49" s="42" t="inlineStr"/>
      <c r="L49" s="34" t="n">
        <v>0</v>
      </c>
      <c r="M49" s="34" t="n">
        <v>0</v>
      </c>
      <c r="N49" s="32" t="inlineStr">
        <is>
          <t>col 12, row 0, 12x6</t>
        </is>
      </c>
    </row>
    <row r="50">
      <c r="A50" s="37" t="inlineStr">
        <is>
          <t>TryConfigColorAndAgrField</t>
        </is>
      </c>
      <c r="B50" s="37" t="inlineStr">
        <is>
          <t>yJByFm</t>
        </is>
      </c>
      <c r="C50" s="37" t="inlineStr">
        <is>
          <t>Visualizza dati</t>
        </is>
      </c>
      <c r="D50" s="37" t="inlineStr">
        <is>
          <t>HAKV</t>
        </is>
      </c>
      <c r="E50" s="37" t="inlineStr">
        <is>
          <t>barchart</t>
        </is>
      </c>
      <c r="F50" s="37" t="inlineStr">
        <is>
          <t>Dati</t>
        </is>
      </c>
      <c r="G50" s="37" t="inlineStr"/>
      <c r="H50" s="37" t="inlineStr"/>
      <c r="I50" s="37" t="inlineStr"/>
      <c r="J50" s="43" t="inlineStr">
        <is>
          <t>Prodotto</t>
        </is>
      </c>
      <c r="K50" s="43" t="inlineStr">
        <is>
          <t>Prezzo</t>
        </is>
      </c>
      <c r="L50" s="39" t="n">
        <v>1</v>
      </c>
      <c r="M50" s="39" t="n">
        <v>1</v>
      </c>
      <c r="N50" s="37" t="inlineStr">
        <is>
          <t>col 5, row 0, 19x6</t>
        </is>
      </c>
    </row>
    <row r="51">
      <c r="A51" s="32" t="inlineStr">
        <is>
          <t>TryConfigColorAndAgrField</t>
        </is>
      </c>
      <c r="B51" s="32" t="inlineStr">
        <is>
          <t>yJByFm</t>
        </is>
      </c>
      <c r="C51" s="32" t="inlineStr">
        <is>
          <t>Visualizza dati</t>
        </is>
      </c>
      <c r="D51" s="32" t="inlineStr">
        <is>
          <t>VmJEtn</t>
        </is>
      </c>
      <c r="E51" s="32" t="inlineStr">
        <is>
          <t>filterpane</t>
        </is>
      </c>
      <c r="F51" s="32" t="inlineStr"/>
      <c r="G51" s="32" t="inlineStr"/>
      <c r="H51" s="32" t="inlineStr"/>
      <c r="I51" s="32" t="inlineStr"/>
      <c r="J51" s="42" t="inlineStr"/>
      <c r="K51" s="42" t="inlineStr"/>
      <c r="L51" s="34" t="n">
        <v>0</v>
      </c>
      <c r="M51" s="34" t="n">
        <v>0</v>
      </c>
      <c r="N51" s="32" t="inlineStr">
        <is>
          <t>col 0, row 0, 5x3</t>
        </is>
      </c>
    </row>
    <row r="52">
      <c r="A52" s="37" t="inlineStr">
        <is>
          <t>TryConfigColorAndAgrField</t>
        </is>
      </c>
      <c r="B52" s="37" t="inlineStr">
        <is>
          <t>yJByFm</t>
        </is>
      </c>
      <c r="C52" s="37" t="inlineStr">
        <is>
          <t>Visualizza dati</t>
        </is>
      </c>
      <c r="D52" s="37" t="inlineStr">
        <is>
          <t>jmQRDRK</t>
        </is>
      </c>
      <c r="E52" s="37" t="inlineStr">
        <is>
          <t>listbox</t>
        </is>
      </c>
      <c r="F52" s="37" t="inlineStr">
        <is>
          <t>Tipo Prezzo</t>
        </is>
      </c>
      <c r="G52" s="37" t="inlineStr">
        <is>
          <t>VmJEtn</t>
        </is>
      </c>
      <c r="H52" s="37" t="inlineStr"/>
      <c r="I52" s="37" t="inlineStr"/>
      <c r="J52" s="43" t="inlineStr">
        <is>
          <t>DescTipoPrezzo</t>
        </is>
      </c>
      <c r="K52" s="43" t="inlineStr"/>
      <c r="L52" s="39" t="n">
        <v>1</v>
      </c>
      <c r="M52" s="39" t="n">
        <v>0</v>
      </c>
      <c r="N52" s="37" t="inlineStr"/>
    </row>
    <row r="53">
      <c r="A53" s="32" t="inlineStr">
        <is>
          <t>TryExtensions</t>
        </is>
      </c>
      <c r="B53" s="32" t="inlineStr">
        <is>
          <t>bEBzp</t>
        </is>
      </c>
      <c r="C53" s="32" t="inlineStr">
        <is>
          <t>Hello World</t>
        </is>
      </c>
      <c r="D53" s="32" t="inlineStr">
        <is>
          <t>PebMUH</t>
        </is>
      </c>
      <c r="E53" s="32" t="inlineStr">
        <is>
          <t>HelloWorld</t>
        </is>
      </c>
      <c r="F53" s="32" t="inlineStr"/>
      <c r="G53" s="32" t="inlineStr"/>
      <c r="H53" s="32" t="inlineStr"/>
      <c r="I53" s="32" t="inlineStr"/>
      <c r="J53" s="42" t="inlineStr"/>
      <c r="K53" s="42" t="inlineStr"/>
      <c r="L53" s="34" t="n">
        <v>0</v>
      </c>
      <c r="M53" s="34" t="n">
        <v>0</v>
      </c>
      <c r="N53" s="32" t="inlineStr">
        <is>
          <t>col 0, row 0, 12x12</t>
        </is>
      </c>
    </row>
    <row r="54">
      <c r="A54" s="37" t="inlineStr">
        <is>
          <t>Tutorial creazione nuova app</t>
        </is>
      </c>
      <c r="B54" s="37" t="inlineStr">
        <is>
          <t>pNfY</t>
        </is>
      </c>
      <c r="C54" s="37" t="inlineStr">
        <is>
          <t>Dashboard</t>
        </is>
      </c>
      <c r="D54" s="37" t="inlineStr">
        <is>
          <t>pzU</t>
        </is>
      </c>
      <c r="E54" s="37" t="inlineStr">
        <is>
          <t>filterpane</t>
        </is>
      </c>
      <c r="F54" s="37" t="inlineStr"/>
      <c r="G54" s="37" t="inlineStr"/>
      <c r="H54" s="37" t="inlineStr">
        <is>
          <t>rmBWDa</t>
        </is>
      </c>
      <c r="I54" s="37" t="inlineStr">
        <is>
          <t>Period</t>
        </is>
      </c>
      <c r="J54" s="43" t="inlineStr"/>
      <c r="K54" s="43" t="inlineStr"/>
      <c r="L54" s="39" t="n">
        <v>0</v>
      </c>
      <c r="M54" s="39" t="n">
        <v>0</v>
      </c>
      <c r="N54" s="37" t="inlineStr">
        <is>
          <t>col 0, row 0, 4x4</t>
        </is>
      </c>
    </row>
    <row r="55">
      <c r="A55" s="32" t="inlineStr">
        <is>
          <t>Tutorial creazione nuova app</t>
        </is>
      </c>
      <c r="B55" s="32" t="inlineStr">
        <is>
          <t>pNfY</t>
        </is>
      </c>
      <c r="C55" s="32" t="inlineStr">
        <is>
          <t>Dashboard</t>
        </is>
      </c>
      <c r="D55" s="32" t="inlineStr">
        <is>
          <t>pnMDWX</t>
        </is>
      </c>
      <c r="E55" s="32" t="inlineStr">
        <is>
          <t>filterpane</t>
        </is>
      </c>
      <c r="F55" s="32" t="inlineStr"/>
      <c r="G55" s="32" t="inlineStr"/>
      <c r="H55" s="32" t="inlineStr">
        <is>
          <t>ZvUFrB</t>
        </is>
      </c>
      <c r="I55" s="32" t="inlineStr">
        <is>
          <t>Region</t>
        </is>
      </c>
      <c r="J55" s="42" t="inlineStr"/>
      <c r="K55" s="42" t="inlineStr"/>
      <c r="L55" s="34" t="n">
        <v>0</v>
      </c>
      <c r="M55" s="34" t="n">
        <v>0</v>
      </c>
      <c r="N55" s="32" t="inlineStr">
        <is>
          <t>col 0, row 6, 4x6</t>
        </is>
      </c>
    </row>
    <row r="56">
      <c r="A56" s="37" t="inlineStr">
        <is>
          <t>Tutorial creazione nuova app</t>
        </is>
      </c>
      <c r="B56" s="37" t="inlineStr">
        <is>
          <t>pNfY</t>
        </is>
      </c>
      <c r="C56" s="37" t="inlineStr">
        <is>
          <t>Dashboard</t>
        </is>
      </c>
      <c r="D56" s="37" t="inlineStr">
        <is>
          <t>ydBXqP</t>
        </is>
      </c>
      <c r="E56" s="37" t="inlineStr">
        <is>
          <t>piechart</t>
        </is>
      </c>
      <c r="F56" s="37" t="inlineStr">
        <is>
          <t>Sales per Region</t>
        </is>
      </c>
      <c r="G56" s="37" t="inlineStr"/>
      <c r="H56" s="37" t="inlineStr"/>
      <c r="I56" s="37" t="inlineStr"/>
      <c r="J56" s="43" t="inlineStr">
        <is>
          <t>Region</t>
        </is>
      </c>
      <c r="K56" s="43" t="inlineStr">
        <is>
          <t>Sales</t>
        </is>
      </c>
      <c r="L56" s="39" t="n">
        <v>1</v>
      </c>
      <c r="M56" s="39" t="n">
        <v>1</v>
      </c>
      <c r="N56" s="37" t="inlineStr">
        <is>
          <t>col 4, row 0, 8x4</t>
        </is>
      </c>
    </row>
    <row r="57">
      <c r="A57" s="32" t="inlineStr">
        <is>
          <t>Tutorial creazione nuova app</t>
        </is>
      </c>
      <c r="B57" s="32" t="inlineStr">
        <is>
          <t>pNfY</t>
        </is>
      </c>
      <c r="C57" s="32" t="inlineStr">
        <is>
          <t>Dashboard</t>
        </is>
      </c>
      <c r="D57" s="32" t="inlineStr">
        <is>
          <t>ceJJpM</t>
        </is>
      </c>
      <c r="E57" s="32" t="inlineStr">
        <is>
          <t>barchart</t>
        </is>
      </c>
      <c r="F57" s="32" t="inlineStr">
        <is>
          <t>Top 5 customers</t>
        </is>
      </c>
      <c r="G57" s="32" t="inlineStr"/>
      <c r="H57" s="32" t="inlineStr"/>
      <c r="I57" s="32" t="inlineStr"/>
      <c r="J57" s="42" t="inlineStr">
        <is>
          <t>Customer</t>
        </is>
      </c>
      <c r="K57" s="42" t="inlineStr">
        <is>
          <t>Sales</t>
        </is>
      </c>
      <c r="L57" s="34" t="n">
        <v>1</v>
      </c>
      <c r="M57" s="34" t="n">
        <v>1</v>
      </c>
      <c r="N57" s="32" t="inlineStr">
        <is>
          <t>col 4, row 4, 8x4</t>
        </is>
      </c>
    </row>
    <row r="58">
      <c r="A58" s="37" t="inlineStr">
        <is>
          <t>Tutorial creazione nuova app</t>
        </is>
      </c>
      <c r="B58" s="37" t="inlineStr">
        <is>
          <t>pNfY</t>
        </is>
      </c>
      <c r="C58" s="37" t="inlineStr">
        <is>
          <t>Dashboard</t>
        </is>
      </c>
      <c r="D58" s="37" t="inlineStr">
        <is>
          <t>KgbDMp</t>
        </is>
      </c>
      <c r="E58" s="37" t="inlineStr">
        <is>
          <t>combochart</t>
        </is>
      </c>
      <c r="F58" s="37" t="inlineStr"/>
      <c r="G58" s="37" t="inlineStr"/>
      <c r="H58" s="37" t="inlineStr"/>
      <c r="I58" s="37" t="inlineStr"/>
      <c r="J58" s="43" t="inlineStr">
        <is>
          <t>MonthYear</t>
        </is>
      </c>
      <c r="K58" s="43" t="inlineStr">
        <is>
          <t>Sales; Margin Percent</t>
        </is>
      </c>
      <c r="L58" s="39" t="n">
        <v>1</v>
      </c>
      <c r="M58" s="39" t="n">
        <v>2</v>
      </c>
      <c r="N58" s="37" t="inlineStr">
        <is>
          <t>col 4, row 8, 20x4</t>
        </is>
      </c>
    </row>
    <row r="59">
      <c r="A59" s="32" t="inlineStr">
        <is>
          <t>Tutorial creazione nuova app</t>
        </is>
      </c>
      <c r="B59" s="32" t="inlineStr">
        <is>
          <t>pNfY</t>
        </is>
      </c>
      <c r="C59" s="32" t="inlineStr">
        <is>
          <t>Dashboard</t>
        </is>
      </c>
      <c r="D59" s="32" t="inlineStr">
        <is>
          <t>cqkwuD</t>
        </is>
      </c>
      <c r="E59" s="32" t="inlineStr">
        <is>
          <t>kpi</t>
        </is>
      </c>
      <c r="F59" s="32" t="inlineStr">
        <is>
          <t>Vendite totali e margine</t>
        </is>
      </c>
      <c r="G59" s="32" t="inlineStr"/>
      <c r="H59" s="32" t="inlineStr"/>
      <c r="I59" s="32" t="inlineStr"/>
      <c r="J59" s="42" t="inlineStr"/>
      <c r="K59" s="42" t="inlineStr">
        <is>
          <t>Sales; Sum(Margin)</t>
        </is>
      </c>
      <c r="L59" s="34" t="n">
        <v>0</v>
      </c>
      <c r="M59" s="34" t="n">
        <v>2</v>
      </c>
      <c r="N59" s="32" t="inlineStr">
        <is>
          <t>col 12, row 0, 6x3</t>
        </is>
      </c>
    </row>
    <row r="60">
      <c r="A60" s="37" t="inlineStr">
        <is>
          <t>Tutorial creazione nuova app</t>
        </is>
      </c>
      <c r="B60" s="37" t="inlineStr">
        <is>
          <t>pNfY</t>
        </is>
      </c>
      <c r="C60" s="37" t="inlineStr">
        <is>
          <t>Dashboard</t>
        </is>
      </c>
      <c r="D60" s="37" t="inlineStr">
        <is>
          <t>Agtgjbq</t>
        </is>
      </c>
      <c r="E60" s="37" t="inlineStr">
        <is>
          <t>gauge</t>
        </is>
      </c>
      <c r="F60" s="37" t="inlineStr">
        <is>
          <t>Profit margin</t>
        </is>
      </c>
      <c r="G60" s="37" t="inlineStr"/>
      <c r="H60" s="37" t="inlineStr"/>
      <c r="I60" s="37" t="inlineStr"/>
      <c r="J60" s="43" t="inlineStr"/>
      <c r="K60" s="43" t="inlineStr">
        <is>
          <t>Margin Percent</t>
        </is>
      </c>
      <c r="L60" s="39" t="n">
        <v>0</v>
      </c>
      <c r="M60" s="39" t="n">
        <v>1</v>
      </c>
      <c r="N60" s="37" t="inlineStr">
        <is>
          <t>col 18, row 0, 6x3</t>
        </is>
      </c>
    </row>
    <row r="61">
      <c r="A61" s="32" t="inlineStr">
        <is>
          <t>Tutorial creazione nuova app</t>
        </is>
      </c>
      <c r="B61" s="32" t="inlineStr">
        <is>
          <t>pNfY</t>
        </is>
      </c>
      <c r="C61" s="32" t="inlineStr">
        <is>
          <t>Dashboard</t>
        </is>
      </c>
      <c r="D61" s="32" t="inlineStr">
        <is>
          <t>fLTdzY</t>
        </is>
      </c>
      <c r="E61" s="32" t="inlineStr">
        <is>
          <t>linechart</t>
        </is>
      </c>
      <c r="F61" s="32" t="inlineStr">
        <is>
          <t>Quarterly trend</t>
        </is>
      </c>
      <c r="G61" s="32" t="inlineStr"/>
      <c r="H61" s="32" t="inlineStr"/>
      <c r="I61" s="32" t="inlineStr"/>
      <c r="J61" s="42" t="inlineStr">
        <is>
          <t>Quarter; Year</t>
        </is>
      </c>
      <c r="K61" s="42" t="inlineStr">
        <is>
          <t>Sales</t>
        </is>
      </c>
      <c r="L61" s="34" t="n">
        <v>2</v>
      </c>
      <c r="M61" s="34" t="n">
        <v>1</v>
      </c>
      <c r="N61" s="32" t="inlineStr">
        <is>
          <t>col 12, row 3, 12x5</t>
        </is>
      </c>
    </row>
    <row r="62">
      <c r="A62" s="37" t="inlineStr">
        <is>
          <t>Tutorial creazione nuova app</t>
        </is>
      </c>
      <c r="B62" s="37" t="inlineStr">
        <is>
          <t>DxxjRM</t>
        </is>
      </c>
      <c r="C62" s="37" t="inlineStr">
        <is>
          <t>Product details</t>
        </is>
      </c>
      <c r="D62" s="37" t="inlineStr">
        <is>
          <t>jUKT</t>
        </is>
      </c>
      <c r="E62" s="37" t="inlineStr">
        <is>
          <t>filterpane</t>
        </is>
      </c>
      <c r="F62" s="37" t="inlineStr"/>
      <c r="G62" s="37" t="inlineStr"/>
      <c r="H62" s="37" t="inlineStr">
        <is>
          <t>rmBWDa</t>
        </is>
      </c>
      <c r="I62" s="37" t="inlineStr">
        <is>
          <t>Period</t>
        </is>
      </c>
      <c r="J62" s="43" t="inlineStr"/>
      <c r="K62" s="43" t="inlineStr"/>
      <c r="L62" s="39" t="n">
        <v>0</v>
      </c>
      <c r="M62" s="39" t="n">
        <v>0</v>
      </c>
      <c r="N62" s="37" t="inlineStr">
        <is>
          <t>col 0, row 0, 4x4</t>
        </is>
      </c>
    </row>
    <row r="63">
      <c r="A63" s="32" t="inlineStr">
        <is>
          <t>Tutorial creazione nuova app</t>
        </is>
      </c>
      <c r="B63" s="32" t="inlineStr">
        <is>
          <t>DxxjRM</t>
        </is>
      </c>
      <c r="C63" s="32" t="inlineStr">
        <is>
          <t>Product details</t>
        </is>
      </c>
      <c r="D63" s="32" t="inlineStr">
        <is>
          <t>UsusUz</t>
        </is>
      </c>
      <c r="E63" s="32" t="inlineStr">
        <is>
          <t>filterpane</t>
        </is>
      </c>
      <c r="F63" s="32" t="inlineStr"/>
      <c r="G63" s="32" t="inlineStr"/>
      <c r="H63" s="32" t="inlineStr">
        <is>
          <t>ZvUFrB</t>
        </is>
      </c>
      <c r="I63" s="32" t="inlineStr">
        <is>
          <t>Region</t>
        </is>
      </c>
      <c r="J63" s="42" t="inlineStr"/>
      <c r="K63" s="42" t="inlineStr"/>
      <c r="L63" s="34" t="n">
        <v>0</v>
      </c>
      <c r="M63" s="34" t="n">
        <v>0</v>
      </c>
      <c r="N63" s="32" t="inlineStr">
        <is>
          <t>col 0, row 6, 4x6</t>
        </is>
      </c>
    </row>
    <row r="64">
      <c r="A64" s="37" t="inlineStr">
        <is>
          <t>Tutorial creazione nuova app</t>
        </is>
      </c>
      <c r="B64" s="37" t="inlineStr">
        <is>
          <t>DxxjRM</t>
        </is>
      </c>
      <c r="C64" s="37" t="inlineStr">
        <is>
          <t>Product details</t>
        </is>
      </c>
      <c r="D64" s="37" t="inlineStr">
        <is>
          <t>cqdV</t>
        </is>
      </c>
      <c r="E64" s="37" t="inlineStr">
        <is>
          <t>barchart</t>
        </is>
      </c>
      <c r="F64" s="37" t="inlineStr">
        <is>
          <t>='Total sales ($):' &amp; Round(Sum(Sales)/1000000, 0.1) &amp; 'M'</t>
        </is>
      </c>
      <c r="G64" s="37" t="inlineStr"/>
      <c r="H64" s="37" t="inlineStr"/>
      <c r="I64" s="37" t="inlineStr"/>
      <c r="J64" s="43" t="inlineStr">
        <is>
          <t>Product Group</t>
        </is>
      </c>
      <c r="K64" s="43" t="inlineStr">
        <is>
          <t>Sales; Margin</t>
        </is>
      </c>
      <c r="L64" s="39" t="n">
        <v>1</v>
      </c>
      <c r="M64" s="39" t="n">
        <v>2</v>
      </c>
      <c r="N64" s="37" t="inlineStr">
        <is>
          <t>col 4, row 0, 20x4</t>
        </is>
      </c>
    </row>
    <row r="65">
      <c r="A65" s="32" t="inlineStr">
        <is>
          <t>Tutorial creazione nuova app</t>
        </is>
      </c>
      <c r="B65" s="32" t="inlineStr">
        <is>
          <t>DxxjRM</t>
        </is>
      </c>
      <c r="C65" s="32" t="inlineStr">
        <is>
          <t>Product details</t>
        </is>
      </c>
      <c r="D65" s="32" t="inlineStr">
        <is>
          <t>pKWxgrw</t>
        </is>
      </c>
      <c r="E65" s="32" t="inlineStr">
        <is>
          <t>treemap</t>
        </is>
      </c>
      <c r="F65" s="32" t="inlineStr">
        <is>
          <t>Product treemap</t>
        </is>
      </c>
      <c r="G65" s="32" t="inlineStr"/>
      <c r="H65" s="32" t="inlineStr"/>
      <c r="I65" s="32" t="inlineStr"/>
      <c r="J65" s="42" t="inlineStr">
        <is>
          <t>Product Group; Product Type; Item Desc</t>
        </is>
      </c>
      <c r="K65" s="42" t="inlineStr">
        <is>
          <t>Sales</t>
        </is>
      </c>
      <c r="L65" s="34" t="n">
        <v>3</v>
      </c>
      <c r="M65" s="34" t="n">
        <v>1</v>
      </c>
      <c r="N65" s="32" t="inlineStr">
        <is>
          <t>col 4, row 4, 20x8</t>
        </is>
      </c>
    </row>
    <row r="66">
      <c r="A66" s="37" t="inlineStr">
        <is>
          <t>Tutorial creazione nuova app</t>
        </is>
      </c>
      <c r="B66" s="37" t="inlineStr">
        <is>
          <t>dwcu</t>
        </is>
      </c>
      <c r="C66" s="37" t="inlineStr">
        <is>
          <t>Customer details</t>
        </is>
      </c>
      <c r="D66" s="37" t="inlineStr">
        <is>
          <t>HPTU</t>
        </is>
      </c>
      <c r="E66" s="37" t="inlineStr">
        <is>
          <t>filterpane</t>
        </is>
      </c>
      <c r="F66" s="37" t="inlineStr"/>
      <c r="G66" s="37" t="inlineStr"/>
      <c r="H66" s="37" t="inlineStr">
        <is>
          <t>rmBWDa</t>
        </is>
      </c>
      <c r="I66" s="37" t="inlineStr">
        <is>
          <t>Period</t>
        </is>
      </c>
      <c r="J66" s="43" t="inlineStr"/>
      <c r="K66" s="43" t="inlineStr"/>
      <c r="L66" s="39" t="n">
        <v>0</v>
      </c>
      <c r="M66" s="39" t="n">
        <v>0</v>
      </c>
      <c r="N66" s="37" t="inlineStr">
        <is>
          <t>col 0, row 0, 4x4</t>
        </is>
      </c>
    </row>
    <row r="67">
      <c r="A67" s="32" t="inlineStr">
        <is>
          <t>Tutorial creazione nuova app</t>
        </is>
      </c>
      <c r="B67" s="32" t="inlineStr">
        <is>
          <t>dwcu</t>
        </is>
      </c>
      <c r="C67" s="32" t="inlineStr">
        <is>
          <t>Customer details</t>
        </is>
      </c>
      <c r="D67" s="32" t="inlineStr">
        <is>
          <t>qjmsvy</t>
        </is>
      </c>
      <c r="E67" s="32" t="inlineStr">
        <is>
          <t>filterpane</t>
        </is>
      </c>
      <c r="F67" s="32" t="inlineStr"/>
      <c r="G67" s="32" t="inlineStr"/>
      <c r="H67" s="32" t="inlineStr">
        <is>
          <t>ZJhRsc</t>
        </is>
      </c>
      <c r="I67" s="32" t="inlineStr">
        <is>
          <t>Manager</t>
        </is>
      </c>
      <c r="J67" s="42" t="inlineStr"/>
      <c r="K67" s="42" t="inlineStr"/>
      <c r="L67" s="34" t="n">
        <v>0</v>
      </c>
      <c r="M67" s="34" t="n">
        <v>0</v>
      </c>
      <c r="N67" s="32" t="inlineStr">
        <is>
          <t>col 0, row 5, 4x7</t>
        </is>
      </c>
    </row>
    <row r="68">
      <c r="A68" s="37" t="inlineStr">
        <is>
          <t>Tutorial creazione nuova app</t>
        </is>
      </c>
      <c r="B68" s="37" t="inlineStr">
        <is>
          <t>dwcu</t>
        </is>
      </c>
      <c r="C68" s="37" t="inlineStr">
        <is>
          <t>Customer details</t>
        </is>
      </c>
      <c r="D68" s="37" t="inlineStr">
        <is>
          <t>CaFe</t>
        </is>
      </c>
      <c r="E68" s="37" t="inlineStr">
        <is>
          <t>scatterplot</t>
        </is>
      </c>
      <c r="F68" s="37" t="inlineStr"/>
      <c r="G68" s="37" t="inlineStr"/>
      <c r="H68" s="37" t="inlineStr"/>
      <c r="I68" s="37" t="inlineStr"/>
      <c r="J68" s="43" t="inlineStr">
        <is>
          <t>Customer</t>
        </is>
      </c>
      <c r="K68" s="43" t="inlineStr">
        <is>
          <t>Sales; Quantity</t>
        </is>
      </c>
      <c r="L68" s="39" t="n">
        <v>1</v>
      </c>
      <c r="M68" s="39" t="n">
        <v>2</v>
      </c>
      <c r="N68" s="37" t="inlineStr">
        <is>
          <t>col 4, row 0, 20x5</t>
        </is>
      </c>
    </row>
    <row r="69">
      <c r="A69" s="32" t="inlineStr">
        <is>
          <t>Tutorial creazione nuova app</t>
        </is>
      </c>
      <c r="B69" s="32" t="inlineStr">
        <is>
          <t>dwcu</t>
        </is>
      </c>
      <c r="C69" s="32" t="inlineStr">
        <is>
          <t>Customer details</t>
        </is>
      </c>
      <c r="D69" s="32" t="inlineStr">
        <is>
          <t>bJvxeAh</t>
        </is>
      </c>
      <c r="E69" s="32" t="inlineStr">
        <is>
          <t>pivot-table</t>
        </is>
      </c>
      <c r="F69" s="32" t="inlineStr">
        <is>
          <t>Customer KPIs</t>
        </is>
      </c>
      <c r="G69" s="32" t="inlineStr"/>
      <c r="H69" s="32" t="inlineStr"/>
      <c r="I69" s="32" t="inlineStr"/>
      <c r="J69" s="42" t="inlineStr">
        <is>
          <t>Customer; Product Group; Product Type</t>
        </is>
      </c>
      <c r="K69" s="42" t="inlineStr">
        <is>
          <t>Sales; Quantity; Margin Percent; # of Invoices; Average Sales per Invoice</t>
        </is>
      </c>
      <c r="L69" s="34" t="n">
        <v>3</v>
      </c>
      <c r="M69" s="34" t="n">
        <v>5</v>
      </c>
      <c r="N69" s="32" t="inlineStr">
        <is>
          <t>col 4, row 5, 20x7</t>
        </is>
      </c>
    </row>
    <row r="70">
      <c r="A70" s="37" t="inlineStr">
        <is>
          <t>Tutorial creazione nuova app</t>
        </is>
      </c>
      <c r="B70" s="37" t="inlineStr">
        <is>
          <t>jnJmy</t>
        </is>
      </c>
      <c r="C70" s="37" t="inlineStr">
        <is>
          <t>Customer location</t>
        </is>
      </c>
      <c r="D70" s="37" t="inlineStr">
        <is>
          <t>VzycV</t>
        </is>
      </c>
      <c r="E70" s="37" t="inlineStr">
        <is>
          <t>filterpane</t>
        </is>
      </c>
      <c r="F70" s="37" t="inlineStr"/>
      <c r="G70" s="37" t="inlineStr"/>
      <c r="H70" s="37" t="inlineStr">
        <is>
          <t>ZvUFrB</t>
        </is>
      </c>
      <c r="I70" s="37" t="inlineStr">
        <is>
          <t>Region</t>
        </is>
      </c>
      <c r="J70" s="43" t="inlineStr"/>
      <c r="K70" s="43" t="inlineStr"/>
      <c r="L70" s="39" t="n">
        <v>0</v>
      </c>
      <c r="M70" s="39" t="n">
        <v>0</v>
      </c>
      <c r="N70" s="37" t="inlineStr">
        <is>
          <t>col 0, row 0, 4x4</t>
        </is>
      </c>
    </row>
    <row r="71">
      <c r="A71" s="32" t="inlineStr">
        <is>
          <t>Tutorial creazione nuova app</t>
        </is>
      </c>
      <c r="B71" s="32" t="inlineStr">
        <is>
          <t>jnJmy</t>
        </is>
      </c>
      <c r="C71" s="32" t="inlineStr">
        <is>
          <t>Customer location</t>
        </is>
      </c>
      <c r="D71" s="32" t="inlineStr">
        <is>
          <t>MsfSMgj</t>
        </is>
      </c>
      <c r="E71" s="32" t="inlineStr">
        <is>
          <t>filterpane</t>
        </is>
      </c>
      <c r="F71" s="32" t="inlineStr"/>
      <c r="G71" s="32" t="inlineStr"/>
      <c r="H71" s="32" t="inlineStr">
        <is>
          <t>GbHREb</t>
        </is>
      </c>
      <c r="I71" s="32" t="inlineStr">
        <is>
          <t>City</t>
        </is>
      </c>
      <c r="J71" s="42" t="inlineStr"/>
      <c r="K71" s="42" t="inlineStr"/>
      <c r="L71" s="34" t="n">
        <v>0</v>
      </c>
      <c r="M71" s="34" t="n">
        <v>0</v>
      </c>
      <c r="N71" s="32" t="inlineStr">
        <is>
          <t>col 0, row 4, 4x8</t>
        </is>
      </c>
    </row>
    <row r="72">
      <c r="A72" s="37" t="inlineStr">
        <is>
          <t>Tutorial creazione nuova app</t>
        </is>
      </c>
      <c r="B72" s="37" t="inlineStr">
        <is>
          <t>jnJmy</t>
        </is>
      </c>
      <c r="C72" s="37" t="inlineStr">
        <is>
          <t>Customer location</t>
        </is>
      </c>
      <c r="D72" s="37" t="inlineStr">
        <is>
          <t>grYjvzB</t>
        </is>
      </c>
      <c r="E72" s="37" t="inlineStr">
        <is>
          <t>filterpane</t>
        </is>
      </c>
      <c r="F72" s="37" t="inlineStr"/>
      <c r="G72" s="37" t="inlineStr"/>
      <c r="H72" s="37" t="inlineStr">
        <is>
          <t>LsAsQkp</t>
        </is>
      </c>
      <c r="I72" s="37" t="inlineStr">
        <is>
          <t>Customer</t>
        </is>
      </c>
      <c r="J72" s="43" t="inlineStr"/>
      <c r="K72" s="43" t="inlineStr"/>
      <c r="L72" s="39" t="n">
        <v>0</v>
      </c>
      <c r="M72" s="39" t="n">
        <v>0</v>
      </c>
      <c r="N72" s="37" t="inlineStr">
        <is>
          <t>col 4, row 0, 4x12</t>
        </is>
      </c>
    </row>
    <row r="73">
      <c r="A73" s="32" t="inlineStr">
        <is>
          <t>Tutorial creazione nuova app</t>
        </is>
      </c>
      <c r="B73" s="32" t="inlineStr">
        <is>
          <t>jnJmy</t>
        </is>
      </c>
      <c r="C73" s="32" t="inlineStr">
        <is>
          <t>Customer location</t>
        </is>
      </c>
      <c r="D73" s="32" t="inlineStr">
        <is>
          <t>qbVaPgL</t>
        </is>
      </c>
      <c r="E73" s="32" t="inlineStr">
        <is>
          <t>map</t>
        </is>
      </c>
      <c r="F73" s="32" t="inlineStr">
        <is>
          <t>Location</t>
        </is>
      </c>
      <c r="G73" s="32" t="inlineStr"/>
      <c r="H73" s="32" t="inlineStr"/>
      <c r="I73" s="32" t="inlineStr"/>
      <c r="J73" s="42" t="inlineStr">
        <is>
          <t>City; Location</t>
        </is>
      </c>
      <c r="K73" s="42" t="inlineStr">
        <is>
          <t>Sales</t>
        </is>
      </c>
      <c r="L73" s="34" t="n">
        <v>2</v>
      </c>
      <c r="M73" s="34" t="n">
        <v>1</v>
      </c>
      <c r="N73" s="32" t="inlineStr">
        <is>
          <t>col 8, row 0, 16x9</t>
        </is>
      </c>
    </row>
  </sheetData>
  <autoFilter ref="A6:N73"/>
  <mergeCells count="1">
    <mergeCell ref="C2:J3"/>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C4650"/>
    <outlinePr summaryBelow="1" summaryRight="1"/>
    <pageSetUpPr fitToPage="1"/>
  </sheetPr>
  <dimension ref="A2:N61"/>
  <sheetViews>
    <sheetView showGridLines="0" workbookViewId="0">
      <pane ySplit="6" topLeftCell="A7" activePane="bottomLeft" state="frozen"/>
      <selection pane="bottomLeft" activeCell="A1" sqref="A1"/>
    </sheetView>
  </sheetViews>
  <sheetFormatPr baseColWidth="8" defaultRowHeight="15"/>
  <cols>
    <col width="26" customWidth="1" min="1" max="1"/>
    <col width="14" customWidth="1" min="2" max="2"/>
    <col width="30" customWidth="1" min="3" max="3"/>
    <col width="64" customWidth="1" min="4" max="4"/>
    <col width="36" customWidth="1" min="5" max="5"/>
    <col width="14" customWidth="1" min="6" max="6"/>
    <col width="11" customWidth="1" min="7" max="7"/>
    <col width="9" customWidth="1" min="8" max="8"/>
    <col width="11" customWidth="1" min="9" max="9"/>
    <col width="11" customWidth="1" min="10" max="10"/>
    <col width="12" customWidth="1" min="11" max="11"/>
    <col width="13" customWidth="1" min="12" max="12"/>
    <col width="11" customWidth="1" min="13" max="13"/>
    <col width="12" customWidth="1" min="14" max="14"/>
  </cols>
  <sheetData>
    <row r="1" ht="24" customHeight="1"/>
    <row r="2" ht="24" customHeight="1">
      <c r="C2" s="1" t="inlineStr">
        <is>
          <t>Master measures  ·  the measure libraries</t>
        </is>
      </c>
    </row>
    <row r="3" ht="20" customHeight="1"/>
    <row r="4" ht="10" customHeight="1"/>
    <row r="5" ht="18" customHeight="1">
      <c r="A5" s="29">
        <f>HYPERLINK("#'Discovery'!A1","«  Back to Discovery")</f>
        <v/>
      </c>
      <c r="B5" s="30" t="inlineStr">
        <is>
          <t>Library measures with the full expression, complexity flags and how often they are used.</t>
        </is>
      </c>
    </row>
    <row r="6" ht="30" customHeight="1">
      <c r="A6" s="31" t="inlineStr">
        <is>
          <t>App</t>
        </is>
      </c>
      <c r="B6" s="31" t="inlineStr">
        <is>
          <t>ID</t>
        </is>
      </c>
      <c r="C6" s="31" t="inlineStr">
        <is>
          <t>Label</t>
        </is>
      </c>
      <c r="D6" s="31" t="inlineStr">
        <is>
          <t>Expression</t>
        </is>
      </c>
      <c r="E6" s="31" t="inlineStr">
        <is>
          <t>Description</t>
        </is>
      </c>
      <c r="F6" s="31" t="inlineStr">
        <is>
          <t>Tags</t>
        </is>
      </c>
      <c r="G6" s="31" t="inlineStr">
        <is>
          <t>Set analysis</t>
        </is>
      </c>
      <c r="H6" s="31" t="inlineStr">
        <is>
          <t>Aggr()</t>
        </is>
      </c>
      <c r="I6" s="31" t="inlineStr">
        <is>
          <t>If / Pick / Match</t>
        </is>
      </c>
      <c r="J6" s="31" t="inlineStr">
        <is>
          <t>$() expansion</t>
        </is>
      </c>
      <c r="K6" s="31" t="inlineStr">
        <is>
          <t>Complexity</t>
        </is>
      </c>
      <c r="L6" s="31" t="inlineStr">
        <is>
          <t>Used in visualizations</t>
        </is>
      </c>
      <c r="M6" s="31" t="inlineStr">
        <is>
          <t>Expression length</t>
        </is>
      </c>
      <c r="N6" s="31" t="inlineStr">
        <is>
          <t>Found by</t>
        </is>
      </c>
    </row>
    <row r="7">
      <c r="A7" s="32" t="inlineStr">
        <is>
          <t>Executive Dashboard</t>
        </is>
      </c>
      <c r="B7" s="32" t="inlineStr">
        <is>
          <t>NPPsJt</t>
        </is>
      </c>
      <c r="C7" s="32" t="inlineStr">
        <is>
          <t>Revenue</t>
        </is>
      </c>
      <c r="D7" s="42" t="inlineStr">
        <is>
          <t>Sum([Sales Quantity]*[Sales Price])</t>
        </is>
      </c>
      <c r="E7" s="42" t="inlineStr">
        <is>
          <t>The revenue.</t>
        </is>
      </c>
      <c r="F7" s="32" t="inlineStr"/>
      <c r="G7" s="32" t="inlineStr">
        <is>
          <t>No</t>
        </is>
      </c>
      <c r="H7" s="32" t="inlineStr">
        <is>
          <t>No</t>
        </is>
      </c>
      <c r="I7" s="32" t="inlineStr">
        <is>
          <t>No</t>
        </is>
      </c>
      <c r="J7" s="32" t="inlineStr">
        <is>
          <t>No</t>
        </is>
      </c>
      <c r="K7" s="32" t="inlineStr">
        <is>
          <t>Low</t>
        </is>
      </c>
      <c r="L7" s="34">
        <f>COUNTIFS('MasterItemUsage'!$A$7:$A$100000,A7,'MasterItemUsage'!$F$7:$F$100000,B7)</f>
        <v/>
      </c>
      <c r="M7" s="34" t="n">
        <v>35</v>
      </c>
      <c r="N7" s="32" t="inlineStr">
        <is>
          <t>qlik-parser</t>
        </is>
      </c>
    </row>
    <row r="8">
      <c r="A8" s="37" t="inlineStr">
        <is>
          <t>Executive Dashboard</t>
        </is>
      </c>
      <c r="B8" s="37" t="inlineStr">
        <is>
          <t>SLJUwQj</t>
        </is>
      </c>
      <c r="C8" s="37" t="inlineStr">
        <is>
          <t>Sales Quantity</t>
        </is>
      </c>
      <c r="D8" s="43" t="inlineStr">
        <is>
          <t>Sum([Sales Quantity])</t>
        </is>
      </c>
      <c r="E8" s="43" t="inlineStr">
        <is>
          <t>The quantity sold.</t>
        </is>
      </c>
      <c r="F8" s="37" t="inlineStr"/>
      <c r="G8" s="37" t="inlineStr">
        <is>
          <t>No</t>
        </is>
      </c>
      <c r="H8" s="37" t="inlineStr">
        <is>
          <t>No</t>
        </is>
      </c>
      <c r="I8" s="37" t="inlineStr">
        <is>
          <t>No</t>
        </is>
      </c>
      <c r="J8" s="37" t="inlineStr">
        <is>
          <t>No</t>
        </is>
      </c>
      <c r="K8" s="37" t="inlineStr">
        <is>
          <t>Low</t>
        </is>
      </c>
      <c r="L8" s="39">
        <f>COUNTIFS('MasterItemUsage'!$A$7:$A$100000,A8,'MasterItemUsage'!$F$7:$F$100000,B8)</f>
        <v/>
      </c>
      <c r="M8" s="39" t="n">
        <v>21</v>
      </c>
      <c r="N8" s="37" t="inlineStr">
        <is>
          <t>qlik-parser</t>
        </is>
      </c>
    </row>
    <row r="9">
      <c r="A9" s="32" t="inlineStr">
        <is>
          <t>Executive Dashboard</t>
        </is>
      </c>
      <c r="B9" s="32" t="inlineStr">
        <is>
          <t>mwwzJ</t>
        </is>
      </c>
      <c r="C9" s="32" t="inlineStr">
        <is>
          <t>Expenses vs. Target</t>
        </is>
      </c>
      <c r="D9" s="42" t="inlineStr">
        <is>
          <t>sum({&lt;[Fiscal Year]={$(vYTDYear)}, _HistoryFlag={1}&gt;} ExpenseActual)/sum({&lt;[Fiscal Year]={$(vYTDYear)}, _HistoryFlag={1}&gt;} ExpenseBudget)</t>
        </is>
      </c>
      <c r="E9" s="42" t="inlineStr">
        <is>
          <t>Ratio of actual expenses compared to the target expenses.</t>
        </is>
      </c>
      <c r="F9" s="32" t="inlineStr"/>
      <c r="G9" s="32" t="inlineStr">
        <is>
          <t>Yes</t>
        </is>
      </c>
      <c r="H9" s="32" t="inlineStr">
        <is>
          <t>No</t>
        </is>
      </c>
      <c r="I9" s="32" t="inlineStr">
        <is>
          <t>No</t>
        </is>
      </c>
      <c r="J9" s="32" t="inlineStr">
        <is>
          <t>Yes</t>
        </is>
      </c>
      <c r="K9" s="32" t="inlineStr">
        <is>
          <t>Medium</t>
        </is>
      </c>
      <c r="L9" s="34">
        <f>COUNTIFS('MasterItemUsage'!$A$7:$A$100000,A9,'MasterItemUsage'!$F$7:$F$100000,B9)</f>
        <v/>
      </c>
      <c r="M9" s="34" t="n">
        <v>137</v>
      </c>
      <c r="N9" s="32" t="inlineStr">
        <is>
          <t>qlik-parser</t>
        </is>
      </c>
    </row>
    <row r="10">
      <c r="A10" s="37" t="inlineStr">
        <is>
          <t>Executive Dashboard</t>
        </is>
      </c>
      <c r="B10" s="37" t="inlineStr">
        <is>
          <t>bUft</t>
        </is>
      </c>
      <c r="C10" s="37" t="inlineStr">
        <is>
          <t>Expense as % of Sale</t>
        </is>
      </c>
      <c r="D10" s="43" t="inlineStr">
        <is>
          <t>If(Sum(ExpenseActual)&gt;0,Sum(ExpenseActual),0)</t>
        </is>
      </c>
      <c r="E10" s="43" t="inlineStr">
        <is>
          <t>Actual expenses.</t>
        </is>
      </c>
      <c r="F10" s="37" t="inlineStr"/>
      <c r="G10" s="37" t="inlineStr">
        <is>
          <t>No</t>
        </is>
      </c>
      <c r="H10" s="37" t="inlineStr">
        <is>
          <t>No</t>
        </is>
      </c>
      <c r="I10" s="37" t="inlineStr">
        <is>
          <t>Yes</t>
        </is>
      </c>
      <c r="J10" s="37" t="inlineStr">
        <is>
          <t>No</t>
        </is>
      </c>
      <c r="K10" s="37" t="inlineStr">
        <is>
          <t>Medium</t>
        </is>
      </c>
      <c r="L10" s="39">
        <f>COUNTIFS('MasterItemUsage'!$A$7:$A$100000,A10,'MasterItemUsage'!$F$7:$F$100000,B10)</f>
        <v/>
      </c>
      <c r="M10" s="39" t="n">
        <v>45</v>
      </c>
      <c r="N10" s="37" t="inlineStr">
        <is>
          <t>qlik-parser</t>
        </is>
      </c>
    </row>
    <row r="11">
      <c r="A11" s="32" t="inlineStr">
        <is>
          <t>Executive Dashboard</t>
        </is>
      </c>
      <c r="B11" s="32" t="inlineStr">
        <is>
          <t>napvtJ</t>
        </is>
      </c>
      <c r="C11" s="32" t="inlineStr">
        <is>
          <t>Expense Amount</t>
        </is>
      </c>
      <c r="D11" s="42" t="inlineStr">
        <is>
          <t>sum(ExpenseActual)</t>
        </is>
      </c>
      <c r="E11" s="42" t="inlineStr">
        <is>
          <t>Expenses.</t>
        </is>
      </c>
      <c r="F11" s="32" t="inlineStr"/>
      <c r="G11" s="32" t="inlineStr">
        <is>
          <t>No</t>
        </is>
      </c>
      <c r="H11" s="32" t="inlineStr">
        <is>
          <t>No</t>
        </is>
      </c>
      <c r="I11" s="32" t="inlineStr">
        <is>
          <t>No</t>
        </is>
      </c>
      <c r="J11" s="32" t="inlineStr">
        <is>
          <t>No</t>
        </is>
      </c>
      <c r="K11" s="32" t="inlineStr">
        <is>
          <t>Low</t>
        </is>
      </c>
      <c r="L11" s="34">
        <f>COUNTIFS('MasterItemUsage'!$A$7:$A$100000,A11,'MasterItemUsage'!$F$7:$F$100000,B11)</f>
        <v/>
      </c>
      <c r="M11" s="34" t="n">
        <v>18</v>
      </c>
      <c r="N11" s="32" t="inlineStr">
        <is>
          <t>qlik-parser</t>
        </is>
      </c>
    </row>
    <row r="12">
      <c r="A12" s="37" t="inlineStr">
        <is>
          <t>Executive Dashboard</t>
        </is>
      </c>
      <c r="B12" s="37" t="inlineStr">
        <is>
          <t>jpcvPf</t>
        </is>
      </c>
      <c r="C12" s="37" t="inlineStr">
        <is>
          <t>Expense (New Calculation)</t>
        </is>
      </c>
      <c r="D12" s="43" t="inlineStr">
        <is>
          <t>Sum({&lt;[Fiscal Year]={$(vYear)}&gt;}ExpenseActual)/1000</t>
        </is>
      </c>
      <c r="E12" s="43" t="inlineStr">
        <is>
          <t>Expenses in thousands.</t>
        </is>
      </c>
      <c r="F12" s="37" t="inlineStr"/>
      <c r="G12" s="37" t="inlineStr">
        <is>
          <t>Yes</t>
        </is>
      </c>
      <c r="H12" s="37" t="inlineStr">
        <is>
          <t>No</t>
        </is>
      </c>
      <c r="I12" s="37" t="inlineStr">
        <is>
          <t>No</t>
        </is>
      </c>
      <c r="J12" s="37" t="inlineStr">
        <is>
          <t>Yes</t>
        </is>
      </c>
      <c r="K12" s="37" t="inlineStr">
        <is>
          <t>Medium</t>
        </is>
      </c>
      <c r="L12" s="39">
        <f>COUNTIFS('MasterItemUsage'!$A$7:$A$100000,A12,'MasterItemUsage'!$F$7:$F$100000,B12)</f>
        <v/>
      </c>
      <c r="M12" s="39" t="n">
        <v>51</v>
      </c>
      <c r="N12" s="37" t="inlineStr">
        <is>
          <t>qlik-parser</t>
        </is>
      </c>
    </row>
    <row r="13">
      <c r="A13" s="32" t="inlineStr">
        <is>
          <t>Executive Dashboard</t>
        </is>
      </c>
      <c r="B13" s="32" t="inlineStr">
        <is>
          <t>FDPQYx</t>
        </is>
      </c>
      <c r="C13" s="32" t="inlineStr">
        <is>
          <t>AR % Overdue</t>
        </is>
      </c>
      <c r="D13" s="42" t="inlineStr">
        <is>
          <t>(Sum({&lt;[Fiscal Year]={$(vYTDYear)}&gt;} AROpen)-Sum({&lt;[Fiscal Year]={$(vYTDYear)}&gt;} ARCurrent))/Sum({&lt;[Fiscal Year]={$(vYTDYear)}&gt;} AROpen)</t>
        </is>
      </c>
      <c r="E13" s="42" t="inlineStr">
        <is>
          <t>The percentage overdue year to date.</t>
        </is>
      </c>
      <c r="F13" s="32" t="inlineStr"/>
      <c r="G13" s="32" t="inlineStr">
        <is>
          <t>Yes</t>
        </is>
      </c>
      <c r="H13" s="32" t="inlineStr">
        <is>
          <t>No</t>
        </is>
      </c>
      <c r="I13" s="32" t="inlineStr">
        <is>
          <t>No</t>
        </is>
      </c>
      <c r="J13" s="32" t="inlineStr">
        <is>
          <t>Yes</t>
        </is>
      </c>
      <c r="K13" s="32" t="inlineStr">
        <is>
          <t>Medium</t>
        </is>
      </c>
      <c r="L13" s="34">
        <f>COUNTIFS('MasterItemUsage'!$A$7:$A$100000,A13,'MasterItemUsage'!$F$7:$F$100000,B13)</f>
        <v/>
      </c>
      <c r="M13" s="34" t="n">
        <v>136</v>
      </c>
      <c r="N13" s="32" t="inlineStr">
        <is>
          <t>qlik-parser</t>
        </is>
      </c>
    </row>
    <row r="14">
      <c r="A14" s="37" t="inlineStr">
        <is>
          <t>Executive Dashboard</t>
        </is>
      </c>
      <c r="B14" s="37" t="inlineStr">
        <is>
          <t>w</t>
        </is>
      </c>
      <c r="C14" s="37" t="inlineStr">
        <is>
          <t>Inventory Amount</t>
        </is>
      </c>
      <c r="D14" s="43" t="inlineStr">
        <is>
          <t>Sum(StockOH*CostPrice)</t>
        </is>
      </c>
      <c r="E14" s="43" t="inlineStr">
        <is>
          <t>The amount in inventory ($).</t>
        </is>
      </c>
      <c r="F14" s="37" t="inlineStr"/>
      <c r="G14" s="37" t="inlineStr">
        <is>
          <t>No</t>
        </is>
      </c>
      <c r="H14" s="37" t="inlineStr">
        <is>
          <t>No</t>
        </is>
      </c>
      <c r="I14" s="37" t="inlineStr">
        <is>
          <t>No</t>
        </is>
      </c>
      <c r="J14" s="37" t="inlineStr">
        <is>
          <t>No</t>
        </is>
      </c>
      <c r="K14" s="37" t="inlineStr">
        <is>
          <t>Low</t>
        </is>
      </c>
      <c r="L14" s="39">
        <f>COUNTIFS('MasterItemUsage'!$A$7:$A$100000,A14,'MasterItemUsage'!$F$7:$F$100000,B14)</f>
        <v/>
      </c>
      <c r="M14" s="39" t="n">
        <v>22</v>
      </c>
      <c r="N14" s="37" t="inlineStr">
        <is>
          <t>qlik-parser</t>
        </is>
      </c>
    </row>
    <row r="15">
      <c r="A15" s="32" t="inlineStr">
        <is>
          <t>Executive Dashboard</t>
        </is>
      </c>
      <c r="B15" s="32" t="inlineStr">
        <is>
          <t>sgeyqn</t>
        </is>
      </c>
      <c r="C15" s="32" t="inlineStr">
        <is>
          <t>Margin Amount</t>
        </is>
      </c>
      <c r="D15" s="42" t="inlineStr">
        <is>
          <t>(Sum([Sales Quantity]*[Sales Price])) - (Sum([Sales Cost Amount]))</t>
        </is>
      </c>
      <c r="E15" s="42" t="inlineStr">
        <is>
          <t>The margin amount.</t>
        </is>
      </c>
      <c r="F15" s="32" t="inlineStr"/>
      <c r="G15" s="32" t="inlineStr">
        <is>
          <t>No</t>
        </is>
      </c>
      <c r="H15" s="32" t="inlineStr">
        <is>
          <t>No</t>
        </is>
      </c>
      <c r="I15" s="32" t="inlineStr">
        <is>
          <t>No</t>
        </is>
      </c>
      <c r="J15" s="32" t="inlineStr">
        <is>
          <t>No</t>
        </is>
      </c>
      <c r="K15" s="32" t="inlineStr">
        <is>
          <t>Low</t>
        </is>
      </c>
      <c r="L15" s="34">
        <f>COUNTIFS('MasterItemUsage'!$A$7:$A$100000,A15,'MasterItemUsage'!$F$7:$F$100000,B15)</f>
        <v/>
      </c>
      <c r="M15" s="34" t="n">
        <v>66</v>
      </c>
      <c r="N15" s="32" t="inlineStr">
        <is>
          <t>qlik-parser</t>
        </is>
      </c>
    </row>
    <row r="16">
      <c r="A16" s="37" t="inlineStr">
        <is>
          <t>Executive Dashboard</t>
        </is>
      </c>
      <c r="B16" s="37" t="inlineStr">
        <is>
          <t>RRcCqu</t>
        </is>
      </c>
      <c r="C16" s="37" t="inlineStr">
        <is>
          <t># of Cust AR60+</t>
        </is>
      </c>
      <c r="D16" s="43" t="inlineStr">
        <is>
          <t>if( Sum ([AR60+])&gt;0, count ( distinct [Customer Number]))</t>
        </is>
      </c>
      <c r="E16" s="43" t="inlineStr">
        <is>
          <t>Number of customers overdue by 60 or more days.</t>
        </is>
      </c>
      <c r="F16" s="37" t="inlineStr"/>
      <c r="G16" s="37" t="inlineStr">
        <is>
          <t>No</t>
        </is>
      </c>
      <c r="H16" s="37" t="inlineStr">
        <is>
          <t>No</t>
        </is>
      </c>
      <c r="I16" s="37" t="inlineStr">
        <is>
          <t>Yes</t>
        </is>
      </c>
      <c r="J16" s="37" t="inlineStr">
        <is>
          <t>No</t>
        </is>
      </c>
      <c r="K16" s="37" t="inlineStr">
        <is>
          <t>Medium</t>
        </is>
      </c>
      <c r="L16" s="39">
        <f>COUNTIFS('MasterItemUsage'!$A$7:$A$100000,A16,'MasterItemUsage'!$F$7:$F$100000,B16)</f>
        <v/>
      </c>
      <c r="M16" s="39" t="n">
        <v>57</v>
      </c>
      <c r="N16" s="37" t="inlineStr">
        <is>
          <t>qlik-parser</t>
        </is>
      </c>
    </row>
    <row r="17">
      <c r="A17" s="32" t="inlineStr">
        <is>
          <t>Executive Dashboard</t>
        </is>
      </c>
      <c r="B17" s="32" t="inlineStr">
        <is>
          <t>jnjgaPY</t>
        </is>
      </c>
      <c r="C17" s="32" t="inlineStr">
        <is>
          <t>Cost (Total)</t>
        </is>
      </c>
      <c r="D17" s="42" t="inlineStr">
        <is>
          <t>Sum([Sales Cost Amount])</t>
        </is>
      </c>
      <c r="E17" s="42" t="inlineStr">
        <is>
          <t>Cost amount.</t>
        </is>
      </c>
      <c r="F17" s="32" t="inlineStr"/>
      <c r="G17" s="32" t="inlineStr">
        <is>
          <t>No</t>
        </is>
      </c>
      <c r="H17" s="32" t="inlineStr">
        <is>
          <t>No</t>
        </is>
      </c>
      <c r="I17" s="32" t="inlineStr">
        <is>
          <t>No</t>
        </is>
      </c>
      <c r="J17" s="32" t="inlineStr">
        <is>
          <t>No</t>
        </is>
      </c>
      <c r="K17" s="32" t="inlineStr">
        <is>
          <t>Low</t>
        </is>
      </c>
      <c r="L17" s="34">
        <f>COUNTIFS('MasterItemUsage'!$A$7:$A$100000,A17,'MasterItemUsage'!$F$7:$F$100000,B17)</f>
        <v/>
      </c>
      <c r="M17" s="34" t="n">
        <v>24</v>
      </c>
      <c r="N17" s="32" t="inlineStr">
        <is>
          <t>qlik-parser</t>
        </is>
      </c>
    </row>
    <row r="18">
      <c r="A18" s="37" t="inlineStr">
        <is>
          <t>Executive Dashboard</t>
        </is>
      </c>
      <c r="B18" s="37" t="inlineStr">
        <is>
          <t>pVTm</t>
        </is>
      </c>
      <c r="C18" s="37" t="inlineStr">
        <is>
          <t>AR Average Balance</t>
        </is>
      </c>
      <c r="D18" s="43" t="inlineStr">
        <is>
          <t>Sum (ARAvgBal)</t>
        </is>
      </c>
      <c r="E18" s="43" t="inlineStr">
        <is>
          <t>Average account receivables balance.</t>
        </is>
      </c>
      <c r="F18" s="37" t="inlineStr"/>
      <c r="G18" s="37" t="inlineStr">
        <is>
          <t>No</t>
        </is>
      </c>
      <c r="H18" s="37" t="inlineStr">
        <is>
          <t>No</t>
        </is>
      </c>
      <c r="I18" s="37" t="inlineStr">
        <is>
          <t>No</t>
        </is>
      </c>
      <c r="J18" s="37" t="inlineStr">
        <is>
          <t>No</t>
        </is>
      </c>
      <c r="K18" s="37" t="inlineStr">
        <is>
          <t>Low</t>
        </is>
      </c>
      <c r="L18" s="39">
        <f>COUNTIFS('MasterItemUsage'!$A$7:$A$100000,A18,'MasterItemUsage'!$F$7:$F$100000,B18)</f>
        <v/>
      </c>
      <c r="M18" s="39" t="n">
        <v>14</v>
      </c>
      <c r="N18" s="37" t="inlineStr">
        <is>
          <t>qlik-parser</t>
        </is>
      </c>
    </row>
    <row r="19">
      <c r="A19" s="32" t="inlineStr">
        <is>
          <t>Executive Dashboard</t>
        </is>
      </c>
      <c r="B19" s="32" t="inlineStr">
        <is>
          <t>YgtM</t>
        </is>
      </c>
      <c r="C19" s="32" t="inlineStr">
        <is>
          <t>Avg Sales Per Day</t>
        </is>
      </c>
      <c r="D19" s="42" t="inlineStr">
        <is>
          <t>Sum (ARSalesPerDay)</t>
        </is>
      </c>
      <c r="E19" s="42" t="inlineStr">
        <is>
          <t>The average sales per day.</t>
        </is>
      </c>
      <c r="F19" s="32" t="inlineStr"/>
      <c r="G19" s="32" t="inlineStr">
        <is>
          <t>No</t>
        </is>
      </c>
      <c r="H19" s="32" t="inlineStr">
        <is>
          <t>No</t>
        </is>
      </c>
      <c r="I19" s="32" t="inlineStr">
        <is>
          <t>No</t>
        </is>
      </c>
      <c r="J19" s="32" t="inlineStr">
        <is>
          <t>No</t>
        </is>
      </c>
      <c r="K19" s="32" t="inlineStr">
        <is>
          <t>Low</t>
        </is>
      </c>
      <c r="L19" s="34">
        <f>COUNTIFS('MasterItemUsage'!$A$7:$A$100000,A19,'MasterItemUsage'!$F$7:$F$100000,B19)</f>
        <v/>
      </c>
      <c r="M19" s="34" t="n">
        <v>19</v>
      </c>
      <c r="N19" s="32" t="inlineStr">
        <is>
          <t>qlik-parser</t>
        </is>
      </c>
    </row>
    <row r="20">
      <c r="A20" s="37" t="inlineStr">
        <is>
          <t>Executive Dashboard</t>
        </is>
      </c>
      <c r="B20" s="37" t="inlineStr">
        <is>
          <t>STSDYR</t>
        </is>
      </c>
      <c r="C20" s="37" t="inlineStr">
        <is>
          <t>Revenue vs. LY Revenue</t>
        </is>
      </c>
      <c r="D20" s="43" t="inlineStr">
        <is>
          <t>Sum({&lt;[Fiscal Year]={$(=vYTDYear)}, FiscalMonthNum={"&lt;=$(vCurrentMonthNum)"}&gt;}[Sales Price]*[Sales Quantity])/Sum({&lt;[Fiscal Year]={$(=(vYTDYear)-1)}, FiscalMonthNum={"&lt;=$(vCurrentMonthNum)"}&gt;}[Sales Price]*[Sales Quantity])</t>
        </is>
      </c>
      <c r="E20" s="43" t="inlineStr">
        <is>
          <t>The current year revenue versus the revenue for the previous year.</t>
        </is>
      </c>
      <c r="F20" s="37" t="inlineStr"/>
      <c r="G20" s="37" t="inlineStr">
        <is>
          <t>Yes</t>
        </is>
      </c>
      <c r="H20" s="37" t="inlineStr">
        <is>
          <t>No</t>
        </is>
      </c>
      <c r="I20" s="37" t="inlineStr">
        <is>
          <t>No</t>
        </is>
      </c>
      <c r="J20" s="37" t="inlineStr">
        <is>
          <t>Yes</t>
        </is>
      </c>
      <c r="K20" s="37" t="inlineStr">
        <is>
          <t>High</t>
        </is>
      </c>
      <c r="L20" s="39">
        <f>COUNTIFS('MasterItemUsage'!$A$7:$A$100000,A20,'MasterItemUsage'!$F$7:$F$100000,B20)</f>
        <v/>
      </c>
      <c r="M20" s="39" t="n">
        <v>223</v>
      </c>
      <c r="N20" s="37" t="inlineStr">
        <is>
          <t>qlik-parser</t>
        </is>
      </c>
    </row>
    <row r="21">
      <c r="A21" s="32" t="inlineStr">
        <is>
          <t>Executive Dashboard</t>
        </is>
      </c>
      <c r="B21" s="32" t="inlineStr">
        <is>
          <t>KdPhAt</t>
        </is>
      </c>
      <c r="C21" s="32" t="inlineStr">
        <is>
          <t># of Products</t>
        </is>
      </c>
      <c r="D21" s="42" t="inlineStr">
        <is>
          <t>count(distinct [Line Desc 1])</t>
        </is>
      </c>
      <c r="E21" s="42" t="inlineStr">
        <is>
          <t>Number of products.</t>
        </is>
      </c>
      <c r="F21" s="32" t="inlineStr"/>
      <c r="G21" s="32" t="inlineStr">
        <is>
          <t>No</t>
        </is>
      </c>
      <c r="H21" s="32" t="inlineStr">
        <is>
          <t>No</t>
        </is>
      </c>
      <c r="I21" s="32" t="inlineStr">
        <is>
          <t>No</t>
        </is>
      </c>
      <c r="J21" s="32" t="inlineStr">
        <is>
          <t>No</t>
        </is>
      </c>
      <c r="K21" s="32" t="inlineStr">
        <is>
          <t>Low</t>
        </is>
      </c>
      <c r="L21" s="34">
        <f>COUNTIFS('MasterItemUsage'!$A$7:$A$100000,A21,'MasterItemUsage'!$F$7:$F$100000,B21)</f>
        <v/>
      </c>
      <c r="M21" s="34" t="n">
        <v>29</v>
      </c>
      <c r="N21" s="32" t="inlineStr">
        <is>
          <t>qlik-parser</t>
        </is>
      </c>
    </row>
    <row r="22">
      <c r="A22" s="37" t="inlineStr">
        <is>
          <t>Executive Dashboard</t>
        </is>
      </c>
      <c r="B22" s="37" t="inlineStr">
        <is>
          <t>vLRMZz</t>
        </is>
      </c>
      <c r="C22" s="37" t="inlineStr">
        <is>
          <t>Amount Overdue</t>
        </is>
      </c>
      <c r="D22" s="43" t="inlineStr">
        <is>
          <t>Sum (AROpen)-Sum(ARCurrent)</t>
        </is>
      </c>
      <c r="E22" s="43" t="inlineStr">
        <is>
          <t>The amount that is overdue.</t>
        </is>
      </c>
      <c r="F22" s="37" t="inlineStr"/>
      <c r="G22" s="37" t="inlineStr">
        <is>
          <t>No</t>
        </is>
      </c>
      <c r="H22" s="37" t="inlineStr">
        <is>
          <t>No</t>
        </is>
      </c>
      <c r="I22" s="37" t="inlineStr">
        <is>
          <t>No</t>
        </is>
      </c>
      <c r="J22" s="37" t="inlineStr">
        <is>
          <t>No</t>
        </is>
      </c>
      <c r="K22" s="37" t="inlineStr">
        <is>
          <t>Low</t>
        </is>
      </c>
      <c r="L22" s="39">
        <f>COUNTIFS('MasterItemUsage'!$A$7:$A$100000,A22,'MasterItemUsage'!$F$7:$F$100000,B22)</f>
        <v/>
      </c>
      <c r="M22" s="39" t="n">
        <v>27</v>
      </c>
      <c r="N22" s="37" t="inlineStr">
        <is>
          <t>qlik-parser</t>
        </is>
      </c>
    </row>
    <row r="23">
      <c r="A23" s="32" t="inlineStr">
        <is>
          <t>Executive Dashboard</t>
        </is>
      </c>
      <c r="B23" s="32" t="inlineStr">
        <is>
          <t>DBUzjm</t>
        </is>
      </c>
      <c r="C23" s="32" t="inlineStr">
        <is>
          <t>Margin %</t>
        </is>
      </c>
      <c r="D23" s="42" t="inlineStr">
        <is>
          <t>((Sum([Sales Quantity]*[Sales Price]))-(Sum([Sales Cost Amount])))/(Sum([Sales Price]* [Sales Quantity]))</t>
        </is>
      </c>
      <c r="E23" s="42" t="inlineStr">
        <is>
          <t>Margin percent.</t>
        </is>
      </c>
      <c r="F23" s="32" t="inlineStr"/>
      <c r="G23" s="32" t="inlineStr">
        <is>
          <t>No</t>
        </is>
      </c>
      <c r="H23" s="32" t="inlineStr">
        <is>
          <t>No</t>
        </is>
      </c>
      <c r="I23" s="32" t="inlineStr">
        <is>
          <t>No</t>
        </is>
      </c>
      <c r="J23" s="32" t="inlineStr">
        <is>
          <t>No</t>
        </is>
      </c>
      <c r="K23" s="32" t="inlineStr">
        <is>
          <t>Medium</t>
        </is>
      </c>
      <c r="L23" s="34">
        <f>COUNTIFS('MasterItemUsage'!$A$7:$A$100000,A23,'MasterItemUsage'!$F$7:$F$100000,B23)</f>
        <v/>
      </c>
      <c r="M23" s="34" t="n">
        <v>105</v>
      </c>
      <c r="N23" s="32" t="inlineStr">
        <is>
          <t>qlik-parser</t>
        </is>
      </c>
    </row>
    <row r="24">
      <c r="A24" s="37" t="inlineStr">
        <is>
          <t>Executive Dashboard</t>
        </is>
      </c>
      <c r="B24" s="37" t="inlineStr">
        <is>
          <t>pWej</t>
        </is>
      </c>
      <c r="C24" s="37" t="inlineStr">
        <is>
          <t>LY Sales</t>
        </is>
      </c>
      <c r="D24" s="43" t="inlineStr">
        <is>
          <t>Sum({&lt;[Fiscal Year]={$(=(vCurrentYear)-2)}&gt;}[Sales Amount])</t>
        </is>
      </c>
      <c r="E24" s="43" t="inlineStr">
        <is>
          <t>Last year sales.</t>
        </is>
      </c>
      <c r="F24" s="37" t="inlineStr"/>
      <c r="G24" s="37" t="inlineStr">
        <is>
          <t>Yes</t>
        </is>
      </c>
      <c r="H24" s="37" t="inlineStr">
        <is>
          <t>No</t>
        </is>
      </c>
      <c r="I24" s="37" t="inlineStr">
        <is>
          <t>No</t>
        </is>
      </c>
      <c r="J24" s="37" t="inlineStr">
        <is>
          <t>Yes</t>
        </is>
      </c>
      <c r="K24" s="37" t="inlineStr">
        <is>
          <t>Medium</t>
        </is>
      </c>
      <c r="L24" s="39">
        <f>COUNTIFS('MasterItemUsage'!$A$7:$A$100000,A24,'MasterItemUsage'!$F$7:$F$100000,B24)</f>
        <v/>
      </c>
      <c r="M24" s="39" t="n">
        <v>59</v>
      </c>
      <c r="N24" s="37" t="inlineStr">
        <is>
          <t>qlik-parser</t>
        </is>
      </c>
    </row>
    <row r="25">
      <c r="A25" s="32" t="inlineStr">
        <is>
          <t>Executive Dashboard</t>
        </is>
      </c>
      <c r="B25" s="32" t="inlineStr">
        <is>
          <t>bAxxYfh</t>
        </is>
      </c>
      <c r="C25" s="32" t="inlineStr">
        <is>
          <t>Inventory Turns Per Year</t>
        </is>
      </c>
      <c r="D25" s="42" t="inlineStr">
        <is>
          <t>(Sum({&lt;[Fiscal Year]={$(vYTDYear)}&gt;} ThroughputQty*CostPrice)/Sum({&lt;[Fiscal Year]={$(vYTDYear)}&gt;} StockOH*CostPrice))</t>
        </is>
      </c>
      <c r="E25" s="42" t="inlineStr">
        <is>
          <t>The number of times the inventory has been sold or used in a year.</t>
        </is>
      </c>
      <c r="F25" s="32" t="inlineStr"/>
      <c r="G25" s="32" t="inlineStr">
        <is>
          <t>Yes</t>
        </is>
      </c>
      <c r="H25" s="32" t="inlineStr">
        <is>
          <t>No</t>
        </is>
      </c>
      <c r="I25" s="32" t="inlineStr">
        <is>
          <t>No</t>
        </is>
      </c>
      <c r="J25" s="32" t="inlineStr">
        <is>
          <t>Yes</t>
        </is>
      </c>
      <c r="K25" s="32" t="inlineStr">
        <is>
          <t>Medium</t>
        </is>
      </c>
      <c r="L25" s="34">
        <f>COUNTIFS('MasterItemUsage'!$A$7:$A$100000,A25,'MasterItemUsage'!$F$7:$F$100000,B25)</f>
        <v/>
      </c>
      <c r="M25" s="34" t="n">
        <v>117</v>
      </c>
      <c r="N25" s="32" t="inlineStr">
        <is>
          <t>qlik-parser</t>
        </is>
      </c>
    </row>
    <row r="26">
      <c r="A26" s="37" t="inlineStr">
        <is>
          <t>Executive Dashboard</t>
        </is>
      </c>
      <c r="B26" s="37" t="inlineStr">
        <is>
          <t>aajsC</t>
        </is>
      </c>
      <c r="C26" s="37" t="inlineStr">
        <is>
          <t>Sales Variance</t>
        </is>
      </c>
      <c r="D26" s="43" t="inlineStr">
        <is>
          <t>(Sum({&lt;[Fiscal Year]={$(vCurrentYear)}&gt;}[Sales Amount]))/(Sum({&lt;[Fiscal Year]={$(=(vCurrentYear)-1)}&gt;}[Sales Amount]))-1</t>
        </is>
      </c>
      <c r="E26" s="43" t="inlineStr">
        <is>
          <t>The variance between the current year sales and the previous year sales.</t>
        </is>
      </c>
      <c r="F26" s="37" t="inlineStr"/>
      <c r="G26" s="37" t="inlineStr">
        <is>
          <t>Yes</t>
        </is>
      </c>
      <c r="H26" s="37" t="inlineStr">
        <is>
          <t>No</t>
        </is>
      </c>
      <c r="I26" s="37" t="inlineStr">
        <is>
          <t>No</t>
        </is>
      </c>
      <c r="J26" s="37" t="inlineStr">
        <is>
          <t>Yes</t>
        </is>
      </c>
      <c r="K26" s="37" t="inlineStr">
        <is>
          <t>Medium</t>
        </is>
      </c>
      <c r="L26" s="39">
        <f>COUNTIFS('MasterItemUsage'!$A$7:$A$100000,A26,'MasterItemUsage'!$F$7:$F$100000,B26)</f>
        <v/>
      </c>
      <c r="M26" s="39" t="n">
        <v>120</v>
      </c>
      <c r="N26" s="37" t="inlineStr">
        <is>
          <t>qlik-parser</t>
        </is>
      </c>
    </row>
    <row r="27">
      <c r="A27" s="32" t="inlineStr">
        <is>
          <t>Executive Dashboard</t>
        </is>
      </c>
      <c r="B27" s="32" t="inlineStr">
        <is>
          <t>djTj</t>
        </is>
      </c>
      <c r="C27" s="32" t="inlineStr">
        <is>
          <t>Expenses 2013</t>
        </is>
      </c>
      <c r="D27" s="42" t="inlineStr">
        <is>
          <t>if(GetSelectedCount([Fiscal Year])&lt;&gt;1,  	Sum({&lt;[Fiscal Year]={$(=max([Fiscal Year]))} &gt;} ExpenseActual)/1000, 	Sum({&lt;[Fiscal Year]={$(vYear)}&gt;} ExpenseActual)/1000)</t>
        </is>
      </c>
      <c r="E27" s="42" t="inlineStr">
        <is>
          <t>2013 expenses in thousands.</t>
        </is>
      </c>
      <c r="F27" s="32" t="inlineStr"/>
      <c r="G27" s="32" t="inlineStr">
        <is>
          <t>Yes</t>
        </is>
      </c>
      <c r="H27" s="32" t="inlineStr">
        <is>
          <t>No</t>
        </is>
      </c>
      <c r="I27" s="32" t="inlineStr">
        <is>
          <t>Yes</t>
        </is>
      </c>
      <c r="J27" s="32" t="inlineStr">
        <is>
          <t>Yes</t>
        </is>
      </c>
      <c r="K27" s="32" t="inlineStr">
        <is>
          <t>Medium</t>
        </is>
      </c>
      <c r="L27" s="34">
        <f>COUNTIFS('MasterItemUsage'!$A$7:$A$100000,A27,'MasterItemUsage'!$F$7:$F$100000,B27)</f>
        <v/>
      </c>
      <c r="M27" s="34" t="n">
        <v>164</v>
      </c>
      <c r="N27" s="32" t="inlineStr">
        <is>
          <t>qlik-parser</t>
        </is>
      </c>
    </row>
    <row r="28">
      <c r="A28" s="37" t="inlineStr">
        <is>
          <t>Executive Dashboard</t>
        </is>
      </c>
      <c r="B28" s="37" t="inlineStr">
        <is>
          <t>MspLjZ</t>
        </is>
      </c>
      <c r="C28" s="37" t="inlineStr">
        <is>
          <t>Not Purchased</t>
        </is>
      </c>
      <c r="D28" s="43" t="inlineStr">
        <is>
          <t>sum( {&lt;[Line Desc 1] = E({$} [Line Desc 1])&gt;} [Sales Amount] )</t>
        </is>
      </c>
      <c r="E28" s="43" t="inlineStr">
        <is>
          <t>Items that were not purchased.</t>
        </is>
      </c>
      <c r="F28" s="37" t="inlineStr"/>
      <c r="G28" s="37" t="inlineStr">
        <is>
          <t>Yes</t>
        </is>
      </c>
      <c r="H28" s="37" t="inlineStr">
        <is>
          <t>No</t>
        </is>
      </c>
      <c r="I28" s="37" t="inlineStr">
        <is>
          <t>No</t>
        </is>
      </c>
      <c r="J28" s="37" t="inlineStr">
        <is>
          <t>No</t>
        </is>
      </c>
      <c r="K28" s="37" t="inlineStr">
        <is>
          <t>Medium</t>
        </is>
      </c>
      <c r="L28" s="39">
        <f>COUNTIFS('MasterItemUsage'!$A$7:$A$100000,A28,'MasterItemUsage'!$F$7:$F$100000,B28)</f>
        <v/>
      </c>
      <c r="M28" s="39" t="n">
        <v>62</v>
      </c>
      <c r="N28" s="37" t="inlineStr">
        <is>
          <t>qlik-parser</t>
        </is>
      </c>
    </row>
    <row r="29">
      <c r="A29" s="32" t="inlineStr">
        <is>
          <t>Executive Dashboard</t>
        </is>
      </c>
      <c r="B29" s="32" t="inlineStr">
        <is>
          <t>LSRByY</t>
        </is>
      </c>
      <c r="C29" s="32" t="inlineStr">
        <is>
          <t>% of Items</t>
        </is>
      </c>
      <c r="D29" s="42" t="inlineStr">
        <is>
          <t>Count(Distinct [Item-Branch Key])</t>
        </is>
      </c>
      <c r="E29" s="42" t="inlineStr">
        <is>
          <t>Number of items.</t>
        </is>
      </c>
      <c r="F29" s="32" t="inlineStr"/>
      <c r="G29" s="32" t="inlineStr">
        <is>
          <t>No</t>
        </is>
      </c>
      <c r="H29" s="32" t="inlineStr">
        <is>
          <t>No</t>
        </is>
      </c>
      <c r="I29" s="32" t="inlineStr">
        <is>
          <t>No</t>
        </is>
      </c>
      <c r="J29" s="32" t="inlineStr">
        <is>
          <t>No</t>
        </is>
      </c>
      <c r="K29" s="32" t="inlineStr">
        <is>
          <t>Low</t>
        </is>
      </c>
      <c r="L29" s="34">
        <f>COUNTIFS('MasterItemUsage'!$A$7:$A$100000,A29,'MasterItemUsage'!$F$7:$F$100000,B29)</f>
        <v/>
      </c>
      <c r="M29" s="34" t="n">
        <v>33</v>
      </c>
      <c r="N29" s="32" t="inlineStr">
        <is>
          <t>qlik-parser</t>
        </is>
      </c>
    </row>
    <row r="30">
      <c r="A30" s="37" t="inlineStr">
        <is>
          <t>Executive Dashboard</t>
        </is>
      </c>
      <c r="B30" s="37" t="inlineStr">
        <is>
          <t>WFjQfGK</t>
        </is>
      </c>
      <c r="C30" s="37" t="inlineStr">
        <is>
          <t>Inventory Quantity</t>
        </is>
      </c>
      <c r="D30" s="43" t="inlineStr">
        <is>
          <t>sum(StockOH)</t>
        </is>
      </c>
      <c r="E30" s="43" t="inlineStr">
        <is>
          <t>The quantity in inventory.</t>
        </is>
      </c>
      <c r="F30" s="37" t="inlineStr"/>
      <c r="G30" s="37" t="inlineStr">
        <is>
          <t>No</t>
        </is>
      </c>
      <c r="H30" s="37" t="inlineStr">
        <is>
          <t>No</t>
        </is>
      </c>
      <c r="I30" s="37" t="inlineStr">
        <is>
          <t>No</t>
        </is>
      </c>
      <c r="J30" s="37" t="inlineStr">
        <is>
          <t>No</t>
        </is>
      </c>
      <c r="K30" s="37" t="inlineStr">
        <is>
          <t>Low</t>
        </is>
      </c>
      <c r="L30" s="39">
        <f>COUNTIFS('MasterItemUsage'!$A$7:$A$100000,A30,'MasterItemUsage'!$F$7:$F$100000,B30)</f>
        <v/>
      </c>
      <c r="M30" s="39" t="n">
        <v>12</v>
      </c>
      <c r="N30" s="37" t="inlineStr">
        <is>
          <t>qlik-parser</t>
        </is>
      </c>
    </row>
    <row r="31">
      <c r="A31" s="32" t="inlineStr">
        <is>
          <t>Executive Dashboard</t>
        </is>
      </c>
      <c r="B31" s="32" t="inlineStr">
        <is>
          <t>NJTmn</t>
        </is>
      </c>
      <c r="C31" s="32" t="inlineStr">
        <is>
          <t>Revenue vs. Budget</t>
        </is>
      </c>
      <c r="D31" s="42" t="inlineStr">
        <is>
          <t>Sum({&lt;[Fiscal Year]={$(vYTDYear)}, _HistoryFlag={1}&gt;}[Sales Amount])/(Sum({&lt;[Fiscal Year]={$(vYTDYear)}, _HistoryFlag={1}&gt;}[Budget Amount]))</t>
        </is>
      </c>
      <c r="E31" s="42" t="inlineStr">
        <is>
          <t>Revenue versus budgeted amount.</t>
        </is>
      </c>
      <c r="F31" s="32" t="inlineStr"/>
      <c r="G31" s="32" t="inlineStr">
        <is>
          <t>Yes</t>
        </is>
      </c>
      <c r="H31" s="32" t="inlineStr">
        <is>
          <t>No</t>
        </is>
      </c>
      <c r="I31" s="32" t="inlineStr">
        <is>
          <t>No</t>
        </is>
      </c>
      <c r="J31" s="32" t="inlineStr">
        <is>
          <t>Yes</t>
        </is>
      </c>
      <c r="K31" s="32" t="inlineStr">
        <is>
          <t>Medium</t>
        </is>
      </c>
      <c r="L31" s="34">
        <f>COUNTIFS('MasterItemUsage'!$A$7:$A$100000,A31,'MasterItemUsage'!$F$7:$F$100000,B31)</f>
        <v/>
      </c>
      <c r="M31" s="34" t="n">
        <v>140</v>
      </c>
      <c r="N31" s="32" t="inlineStr">
        <is>
          <t>qlik-parser</t>
        </is>
      </c>
    </row>
    <row r="32">
      <c r="A32" s="37" t="inlineStr">
        <is>
          <t>Executive Dashboard</t>
        </is>
      </c>
      <c r="B32" s="37" t="inlineStr">
        <is>
          <t>VjxMHP</t>
        </is>
      </c>
      <c r="C32" s="37" t="inlineStr">
        <is>
          <t>Budget</t>
        </is>
      </c>
      <c r="D32" s="43" t="inlineStr">
        <is>
          <t>Sum(ExpenseBudget)/1000</t>
        </is>
      </c>
      <c r="E32" s="43" t="inlineStr">
        <is>
          <t>Budget.</t>
        </is>
      </c>
      <c r="F32" s="37" t="inlineStr"/>
      <c r="G32" s="37" t="inlineStr">
        <is>
          <t>No</t>
        </is>
      </c>
      <c r="H32" s="37" t="inlineStr">
        <is>
          <t>No</t>
        </is>
      </c>
      <c r="I32" s="37" t="inlineStr">
        <is>
          <t>No</t>
        </is>
      </c>
      <c r="J32" s="37" t="inlineStr">
        <is>
          <t>No</t>
        </is>
      </c>
      <c r="K32" s="37" t="inlineStr">
        <is>
          <t>Low</t>
        </is>
      </c>
      <c r="L32" s="39">
        <f>COUNTIFS('MasterItemUsage'!$A$7:$A$100000,A32,'MasterItemUsage'!$F$7:$F$100000,B32)</f>
        <v/>
      </c>
      <c r="M32" s="39" t="n">
        <v>23</v>
      </c>
      <c r="N32" s="37" t="inlineStr">
        <is>
          <t>qlik-parser</t>
        </is>
      </c>
    </row>
    <row r="33">
      <c r="A33" s="32" t="inlineStr">
        <is>
          <t>Executive Dashboard</t>
        </is>
      </c>
      <c r="B33" s="32" t="inlineStr">
        <is>
          <t>VSufGd</t>
        </is>
      </c>
      <c r="C33" s="32" t="inlineStr">
        <is>
          <t>Days Sales Outstanding</t>
        </is>
      </c>
      <c r="D33" s="42" t="inlineStr">
        <is>
          <t>Sum (ARAvgBal)/Sum (ARSalesPerDay)</t>
        </is>
      </c>
      <c r="E33" s="42" t="inlineStr">
        <is>
          <t>The number of days the payment is overdue.</t>
        </is>
      </c>
      <c r="F33" s="32" t="inlineStr"/>
      <c r="G33" s="32" t="inlineStr">
        <is>
          <t>No</t>
        </is>
      </c>
      <c r="H33" s="32" t="inlineStr">
        <is>
          <t>No</t>
        </is>
      </c>
      <c r="I33" s="32" t="inlineStr">
        <is>
          <t>No</t>
        </is>
      </c>
      <c r="J33" s="32" t="inlineStr">
        <is>
          <t>No</t>
        </is>
      </c>
      <c r="K33" s="32" t="inlineStr">
        <is>
          <t>Low</t>
        </is>
      </c>
      <c r="L33" s="34">
        <f>COUNTIFS('MasterItemUsage'!$A$7:$A$100000,A33,'MasterItemUsage'!$F$7:$F$100000,B33)</f>
        <v/>
      </c>
      <c r="M33" s="34" t="n">
        <v>34</v>
      </c>
      <c r="N33" s="32" t="inlineStr">
        <is>
          <t>qlik-parser</t>
        </is>
      </c>
    </row>
    <row r="34">
      <c r="A34" s="37" t="inlineStr">
        <is>
          <t>Executive Dashboard</t>
        </is>
      </c>
      <c r="B34" s="37" t="inlineStr">
        <is>
          <t>DSrjAGm</t>
        </is>
      </c>
      <c r="C34" s="37" t="inlineStr">
        <is>
          <t># of Customers</t>
        </is>
      </c>
      <c r="D34" s="43" t="inlineStr">
        <is>
          <t>count(distinct [Customer Number])</t>
        </is>
      </c>
      <c r="E34" s="43" t="inlineStr">
        <is>
          <t>Number of customers.</t>
        </is>
      </c>
      <c r="F34" s="37" t="inlineStr"/>
      <c r="G34" s="37" t="inlineStr">
        <is>
          <t>No</t>
        </is>
      </c>
      <c r="H34" s="37" t="inlineStr">
        <is>
          <t>No</t>
        </is>
      </c>
      <c r="I34" s="37" t="inlineStr">
        <is>
          <t>No</t>
        </is>
      </c>
      <c r="J34" s="37" t="inlineStr">
        <is>
          <t>No</t>
        </is>
      </c>
      <c r="K34" s="37" t="inlineStr">
        <is>
          <t>Low</t>
        </is>
      </c>
      <c r="L34" s="39">
        <f>COUNTIFS('MasterItemUsage'!$A$7:$A$100000,A34,'MasterItemUsage'!$F$7:$F$100000,B34)</f>
        <v/>
      </c>
      <c r="M34" s="39" t="n">
        <v>33</v>
      </c>
      <c r="N34" s="37" t="inlineStr">
        <is>
          <t>qlik-parser</t>
        </is>
      </c>
    </row>
    <row r="35">
      <c r="A35" s="32" t="inlineStr">
        <is>
          <t>Executive Dashboard</t>
        </is>
      </c>
      <c r="B35" s="32" t="inlineStr">
        <is>
          <t>vhdJ</t>
        </is>
      </c>
      <c r="C35" s="32" t="inlineStr">
        <is>
          <t>Expense Budget</t>
        </is>
      </c>
      <c r="D35" s="42" t="inlineStr">
        <is>
          <t>Sum(ExpenseBudget)/1000</t>
        </is>
      </c>
      <c r="E35" s="42" t="inlineStr">
        <is>
          <t>The expense budget.</t>
        </is>
      </c>
      <c r="F35" s="32" t="inlineStr"/>
      <c r="G35" s="32" t="inlineStr">
        <is>
          <t>No</t>
        </is>
      </c>
      <c r="H35" s="32" t="inlineStr">
        <is>
          <t>No</t>
        </is>
      </c>
      <c r="I35" s="32" t="inlineStr">
        <is>
          <t>No</t>
        </is>
      </c>
      <c r="J35" s="32" t="inlineStr">
        <is>
          <t>No</t>
        </is>
      </c>
      <c r="K35" s="32" t="inlineStr">
        <is>
          <t>Low</t>
        </is>
      </c>
      <c r="L35" s="34">
        <f>COUNTIFS('MasterItemUsage'!$A$7:$A$100000,A35,'MasterItemUsage'!$F$7:$F$100000,B35)</f>
        <v/>
      </c>
      <c r="M35" s="34" t="n">
        <v>23</v>
      </c>
      <c r="N35" s="32" t="inlineStr">
        <is>
          <t>qlik-parser</t>
        </is>
      </c>
    </row>
    <row r="36">
      <c r="A36" s="37" t="inlineStr">
        <is>
          <t>Executive Dashboard</t>
        </is>
      </c>
      <c r="B36" s="37" t="inlineStr">
        <is>
          <t>gPDABt</t>
        </is>
      </c>
      <c r="C36" s="37" t="inlineStr">
        <is>
          <t>Expenses % of Sales</t>
        </is>
      </c>
      <c r="D36" s="43" t="inlineStr">
        <is>
          <t>Sum({&lt;[Fiscal Year]={$(vYTDYear)}&gt;}ExpenseActual)/Sum({&lt;[Fiscal Year]={$(vYTDYear)}&gt;}[Sales Price]*[Sales Quantity])</t>
        </is>
      </c>
      <c r="E36" s="43" t="inlineStr">
        <is>
          <t>Expenses as a percentage of the sales.</t>
        </is>
      </c>
      <c r="F36" s="37" t="inlineStr"/>
      <c r="G36" s="37" t="inlineStr">
        <is>
          <t>Yes</t>
        </is>
      </c>
      <c r="H36" s="37" t="inlineStr">
        <is>
          <t>No</t>
        </is>
      </c>
      <c r="I36" s="37" t="inlineStr">
        <is>
          <t>No</t>
        </is>
      </c>
      <c r="J36" s="37" t="inlineStr">
        <is>
          <t>Yes</t>
        </is>
      </c>
      <c r="K36" s="37" t="inlineStr">
        <is>
          <t>Medium</t>
        </is>
      </c>
      <c r="L36" s="39">
        <f>COUNTIFS('MasterItemUsage'!$A$7:$A$100000,A36,'MasterItemUsage'!$F$7:$F$100000,B36)</f>
        <v/>
      </c>
      <c r="M36" s="39" t="n">
        <v>116</v>
      </c>
      <c r="N36" s="37" t="inlineStr">
        <is>
          <t>qlik-parser</t>
        </is>
      </c>
    </row>
    <row r="37">
      <c r="A37" s="32" t="inlineStr">
        <is>
          <t>Executive Dashboard</t>
        </is>
      </c>
      <c r="B37" s="32" t="inlineStr">
        <is>
          <t>KKnaBV</t>
        </is>
      </c>
      <c r="C37" s="32" t="inlineStr">
        <is>
          <t>Expense 2012</t>
        </is>
      </c>
      <c r="D37" s="42" t="inlineStr">
        <is>
          <t>if(GetSelectedCount([Fiscal Year])&lt;&gt;1,  	Sum({&lt;[Fiscal Year]={$(=max([Fiscal Year])-1)} &gt;} ExpenseActual)/1000, 	Sum({&lt;[Fiscal Year]={$(=vYear-1)}&gt;} ExpenseActual)/1000)</t>
        </is>
      </c>
      <c r="E37" s="42" t="inlineStr">
        <is>
          <t>Expenses for 2012.</t>
        </is>
      </c>
      <c r="F37" s="32" t="inlineStr"/>
      <c r="G37" s="32" t="inlineStr">
        <is>
          <t>Yes</t>
        </is>
      </c>
      <c r="H37" s="32" t="inlineStr">
        <is>
          <t>No</t>
        </is>
      </c>
      <c r="I37" s="32" t="inlineStr">
        <is>
          <t>Yes</t>
        </is>
      </c>
      <c r="J37" s="32" t="inlineStr">
        <is>
          <t>Yes</t>
        </is>
      </c>
      <c r="K37" s="32" t="inlineStr">
        <is>
          <t>Medium</t>
        </is>
      </c>
      <c r="L37" s="34">
        <f>COUNTIFS('MasterItemUsage'!$A$7:$A$100000,A37,'MasterItemUsage'!$F$7:$F$100000,B37)</f>
        <v/>
      </c>
      <c r="M37" s="34" t="n">
        <v>169</v>
      </c>
      <c r="N37" s="32" t="inlineStr">
        <is>
          <t>qlik-parser</t>
        </is>
      </c>
    </row>
    <row r="38">
      <c r="A38" s="37" t="inlineStr">
        <is>
          <t>Executive Dashboard</t>
        </is>
      </c>
      <c r="B38" s="37" t="inlineStr">
        <is>
          <t>kFkPpz</t>
        </is>
      </c>
      <c r="C38" s="37" t="inlineStr">
        <is>
          <t>On Time Delivery</t>
        </is>
      </c>
      <c r="D38" s="43" t="inlineStr">
        <is>
          <t>Sum([Late Shipment])/Count([OrderID])</t>
        </is>
      </c>
      <c r="E38" s="43" t="inlineStr">
        <is>
          <t>The percentage of orders with a late shipment.</t>
        </is>
      </c>
      <c r="F38" s="37" t="inlineStr"/>
      <c r="G38" s="37" t="inlineStr">
        <is>
          <t>No</t>
        </is>
      </c>
      <c r="H38" s="37" t="inlineStr">
        <is>
          <t>No</t>
        </is>
      </c>
      <c r="I38" s="37" t="inlineStr">
        <is>
          <t>No</t>
        </is>
      </c>
      <c r="J38" s="37" t="inlineStr">
        <is>
          <t>No</t>
        </is>
      </c>
      <c r="K38" s="37" t="inlineStr">
        <is>
          <t>Low</t>
        </is>
      </c>
      <c r="L38" s="39">
        <f>COUNTIFS('MasterItemUsage'!$A$7:$A$100000,A38,'MasterItemUsage'!$F$7:$F$100000,B38)</f>
        <v/>
      </c>
      <c r="M38" s="39" t="n">
        <v>37</v>
      </c>
      <c r="N38" s="37" t="inlineStr">
        <is>
          <t>qlik-parser</t>
        </is>
      </c>
    </row>
    <row r="39">
      <c r="A39" s="32" t="inlineStr">
        <is>
          <t>Executive Dashboard</t>
        </is>
      </c>
      <c r="B39" s="32" t="inlineStr">
        <is>
          <t>TGwPSs</t>
        </is>
      </c>
      <c r="C39" s="32" t="inlineStr">
        <is>
          <t>CY Sales</t>
        </is>
      </c>
      <c r="D39" s="42" t="inlineStr">
        <is>
          <t>Sum({&lt;[Fiscal Year]={$(=(vCurrentYear)-1)}&gt;}[Sales Amount])</t>
        </is>
      </c>
      <c r="E39" s="42" t="inlineStr">
        <is>
          <t>Sales for the last full year (year before the current year).</t>
        </is>
      </c>
      <c r="F39" s="32" t="inlineStr"/>
      <c r="G39" s="32" t="inlineStr">
        <is>
          <t>Yes</t>
        </is>
      </c>
      <c r="H39" s="32" t="inlineStr">
        <is>
          <t>No</t>
        </is>
      </c>
      <c r="I39" s="32" t="inlineStr">
        <is>
          <t>No</t>
        </is>
      </c>
      <c r="J39" s="32" t="inlineStr">
        <is>
          <t>Yes</t>
        </is>
      </c>
      <c r="K39" s="32" t="inlineStr">
        <is>
          <t>Medium</t>
        </is>
      </c>
      <c r="L39" s="34">
        <f>COUNTIFS('MasterItemUsage'!$A$7:$A$100000,A39,'MasterItemUsage'!$F$7:$F$100000,B39)</f>
        <v/>
      </c>
      <c r="M39" s="34" t="n">
        <v>59</v>
      </c>
      <c r="N39" s="32" t="inlineStr">
        <is>
          <t>qlik-parser</t>
        </is>
      </c>
    </row>
    <row r="40">
      <c r="A40" s="37" t="inlineStr">
        <is>
          <t>Helpdesk Management</t>
        </is>
      </c>
      <c r="B40" s="37" t="inlineStr">
        <is>
          <t>nmnRv</t>
        </is>
      </c>
      <c r="C40" s="37" t="inlineStr">
        <is>
          <t>Closed Cases</t>
        </is>
      </c>
      <c r="D40" s="43" t="inlineStr">
        <is>
          <t>Count( {$&lt;[Case Is Closed] ={'True'} &gt;} %CaseId )</t>
        </is>
      </c>
      <c r="E40" s="43" t="inlineStr">
        <is>
          <t>This expression only counts cases where the Case Is Closed  field is equal to true.</t>
        </is>
      </c>
      <c r="F40" s="37" t="inlineStr"/>
      <c r="G40" s="37" t="inlineStr">
        <is>
          <t>Yes</t>
        </is>
      </c>
      <c r="H40" s="37" t="inlineStr">
        <is>
          <t>No</t>
        </is>
      </c>
      <c r="I40" s="37" t="inlineStr">
        <is>
          <t>No</t>
        </is>
      </c>
      <c r="J40" s="37" t="inlineStr">
        <is>
          <t>No</t>
        </is>
      </c>
      <c r="K40" s="37" t="inlineStr">
        <is>
          <t>Medium</t>
        </is>
      </c>
      <c r="L40" s="39">
        <f>COUNTIFS('MasterItemUsage'!$A$7:$A$100000,A40,'MasterItemUsage'!$F$7:$F$100000,B40)</f>
        <v/>
      </c>
      <c r="M40" s="39" t="n">
        <v>49</v>
      </c>
      <c r="N40" s="37" t="inlineStr">
        <is>
          <t>qlik-parser</t>
        </is>
      </c>
    </row>
    <row r="41">
      <c r="A41" s="32" t="inlineStr">
        <is>
          <t>Helpdesk Management</t>
        </is>
      </c>
      <c r="B41" s="32" t="inlineStr">
        <is>
          <t>PXChPe</t>
        </is>
      </c>
      <c r="C41" s="32" t="inlineStr">
        <is>
          <t>Open Cases - High</t>
        </is>
      </c>
      <c r="D41" s="42" t="inlineStr">
        <is>
          <t>Count( {$&lt;Priority={'High'}, Status -={'Closed'} &gt;} Distinct %CaseId )</t>
        </is>
      </c>
      <c r="E41" s="42" t="inlineStr">
        <is>
          <t>This expression only counts cases with a high priority that are not closed.</t>
        </is>
      </c>
      <c r="F41" s="32" t="inlineStr"/>
      <c r="G41" s="32" t="inlineStr">
        <is>
          <t>Yes</t>
        </is>
      </c>
      <c r="H41" s="32" t="inlineStr">
        <is>
          <t>No</t>
        </is>
      </c>
      <c r="I41" s="32" t="inlineStr">
        <is>
          <t>No</t>
        </is>
      </c>
      <c r="J41" s="32" t="inlineStr">
        <is>
          <t>No</t>
        </is>
      </c>
      <c r="K41" s="32" t="inlineStr">
        <is>
          <t>Medium</t>
        </is>
      </c>
      <c r="L41" s="34">
        <f>COUNTIFS('MasterItemUsage'!$A$7:$A$100000,A41,'MasterItemUsage'!$F$7:$F$100000,B41)</f>
        <v/>
      </c>
      <c r="M41" s="34" t="n">
        <v>70</v>
      </c>
      <c r="N41" s="32" t="inlineStr">
        <is>
          <t>qlik-parser</t>
        </is>
      </c>
    </row>
    <row r="42">
      <c r="A42" s="37" t="inlineStr">
        <is>
          <t>Helpdesk Management</t>
        </is>
      </c>
      <c r="B42" s="37" t="inlineStr">
        <is>
          <t>FCzjwjd</t>
        </is>
      </c>
      <c r="C42" s="37" t="inlineStr">
        <is>
          <t>Cumulative Closed Cases</t>
        </is>
      </c>
      <c r="D42" s="43" t="inlineStr">
        <is>
          <t>Sum([Number of Closed Cases])</t>
        </is>
      </c>
      <c r="E42" s="43" t="inlineStr">
        <is>
          <t>The number of closed cases.</t>
        </is>
      </c>
      <c r="F42" s="37" t="inlineStr"/>
      <c r="G42" s="37" t="inlineStr">
        <is>
          <t>No</t>
        </is>
      </c>
      <c r="H42" s="37" t="inlineStr">
        <is>
          <t>No</t>
        </is>
      </c>
      <c r="I42" s="37" t="inlineStr">
        <is>
          <t>No</t>
        </is>
      </c>
      <c r="J42" s="37" t="inlineStr">
        <is>
          <t>No</t>
        </is>
      </c>
      <c r="K42" s="37" t="inlineStr">
        <is>
          <t>Low</t>
        </is>
      </c>
      <c r="L42" s="39">
        <f>COUNTIFS('MasterItemUsage'!$A$7:$A$100000,A42,'MasterItemUsage'!$F$7:$F$100000,B42)</f>
        <v/>
      </c>
      <c r="M42" s="39" t="n">
        <v>29</v>
      </c>
      <c r="N42" s="37" t="inlineStr">
        <is>
          <t>qlik-parser</t>
        </is>
      </c>
    </row>
    <row r="43">
      <c r="A43" s="32" t="inlineStr">
        <is>
          <t>Helpdesk Management</t>
        </is>
      </c>
      <c r="B43" s="32" t="inlineStr">
        <is>
          <t>CqgPvhm</t>
        </is>
      </c>
      <c r="C43" s="32" t="inlineStr">
        <is>
          <t>New Cases</t>
        </is>
      </c>
      <c r="D43" s="42" t="inlineStr">
        <is>
          <t>Count( {$&lt;[Status]={'New'} &gt;} Distinct %CaseId )</t>
        </is>
      </c>
      <c r="E43" s="42" t="inlineStr">
        <is>
          <t>This expression only counts cases with a status of New.</t>
        </is>
      </c>
      <c r="F43" s="32" t="inlineStr"/>
      <c r="G43" s="32" t="inlineStr">
        <is>
          <t>Yes</t>
        </is>
      </c>
      <c r="H43" s="32" t="inlineStr">
        <is>
          <t>No</t>
        </is>
      </c>
      <c r="I43" s="32" t="inlineStr">
        <is>
          <t>No</t>
        </is>
      </c>
      <c r="J43" s="32" t="inlineStr">
        <is>
          <t>No</t>
        </is>
      </c>
      <c r="K43" s="32" t="inlineStr">
        <is>
          <t>Medium</t>
        </is>
      </c>
      <c r="L43" s="34">
        <f>COUNTIFS('MasterItemUsage'!$A$7:$A$100000,A43,'MasterItemUsage'!$F$7:$F$100000,B43)</f>
        <v/>
      </c>
      <c r="M43" s="34" t="n">
        <v>48</v>
      </c>
      <c r="N43" s="32" t="inlineStr">
        <is>
          <t>qlik-parser</t>
        </is>
      </c>
    </row>
    <row r="44">
      <c r="A44" s="37" t="inlineStr">
        <is>
          <t>Helpdesk Management</t>
        </is>
      </c>
      <c r="B44" s="37" t="inlineStr">
        <is>
          <t>MPcQeZ</t>
        </is>
      </c>
      <c r="C44" s="37" t="inlineStr">
        <is>
          <t>Open Cases</t>
        </is>
      </c>
      <c r="D44" s="43" t="inlineStr">
        <is>
          <t>Count( {$&lt;Status -={'Closed'} &gt;} Distinct %CaseId )</t>
        </is>
      </c>
      <c r="E44" s="43" t="inlineStr">
        <is>
          <t>The number of cases that are not Closed.</t>
        </is>
      </c>
      <c r="F44" s="37" t="inlineStr"/>
      <c r="G44" s="37" t="inlineStr">
        <is>
          <t>Yes</t>
        </is>
      </c>
      <c r="H44" s="37" t="inlineStr">
        <is>
          <t>No</t>
        </is>
      </c>
      <c r="I44" s="37" t="inlineStr">
        <is>
          <t>No</t>
        </is>
      </c>
      <c r="J44" s="37" t="inlineStr">
        <is>
          <t>No</t>
        </is>
      </c>
      <c r="K44" s="37" t="inlineStr">
        <is>
          <t>Medium</t>
        </is>
      </c>
      <c r="L44" s="39">
        <f>COUNTIFS('MasterItemUsage'!$A$7:$A$100000,A44,'MasterItemUsage'!$F$7:$F$100000,B44)</f>
        <v/>
      </c>
      <c r="M44" s="39" t="n">
        <v>51</v>
      </c>
      <c r="N44" s="37" t="inlineStr">
        <is>
          <t>qlik-parser</t>
        </is>
      </c>
    </row>
    <row r="45">
      <c r="A45" s="32" t="inlineStr">
        <is>
          <t>Helpdesk Management</t>
        </is>
      </c>
      <c r="B45" s="32" t="inlineStr">
        <is>
          <t>kmvsmz</t>
        </is>
      </c>
      <c r="C45" s="32" t="inlineStr">
        <is>
          <t>Medium Priority Cases</t>
        </is>
      </c>
      <c r="D45" s="42" t="inlineStr">
        <is>
          <t>Count( {$&lt;Priority={'Medium'} &gt;}  %CaseId)</t>
        </is>
      </c>
      <c r="E45" s="42" t="inlineStr">
        <is>
          <t>This expression only counts cases with a medium priority.</t>
        </is>
      </c>
      <c r="F45" s="32" t="inlineStr"/>
      <c r="G45" s="32" t="inlineStr">
        <is>
          <t>Yes</t>
        </is>
      </c>
      <c r="H45" s="32" t="inlineStr">
        <is>
          <t>No</t>
        </is>
      </c>
      <c r="I45" s="32" t="inlineStr">
        <is>
          <t>No</t>
        </is>
      </c>
      <c r="J45" s="32" t="inlineStr">
        <is>
          <t>No</t>
        </is>
      </c>
      <c r="K45" s="32" t="inlineStr">
        <is>
          <t>Medium</t>
        </is>
      </c>
      <c r="L45" s="34">
        <f>COUNTIFS('MasterItemUsage'!$A$7:$A$100000,A45,'MasterItemUsage'!$F$7:$F$100000,B45)</f>
        <v/>
      </c>
      <c r="M45" s="34" t="n">
        <v>42</v>
      </c>
      <c r="N45" s="32" t="inlineStr">
        <is>
          <t>qlik-parser</t>
        </is>
      </c>
    </row>
    <row r="46">
      <c r="A46" s="37" t="inlineStr">
        <is>
          <t>Helpdesk Management</t>
        </is>
      </c>
      <c r="B46" s="37" t="inlineStr">
        <is>
          <t>XpPvDqf</t>
        </is>
      </c>
      <c r="C46" s="37" t="inlineStr">
        <is>
          <t>Cumulative New Cases</t>
        </is>
      </c>
      <c r="D46" s="43" t="inlineStr">
        <is>
          <t>Sum([Number of New Cases])</t>
        </is>
      </c>
      <c r="E46" s="43" t="inlineStr">
        <is>
          <t>The number of new cases.</t>
        </is>
      </c>
      <c r="F46" s="37" t="inlineStr"/>
      <c r="G46" s="37" t="inlineStr">
        <is>
          <t>No</t>
        </is>
      </c>
      <c r="H46" s="37" t="inlineStr">
        <is>
          <t>No</t>
        </is>
      </c>
      <c r="I46" s="37" t="inlineStr">
        <is>
          <t>No</t>
        </is>
      </c>
      <c r="J46" s="37" t="inlineStr">
        <is>
          <t>No</t>
        </is>
      </c>
      <c r="K46" s="37" t="inlineStr">
        <is>
          <t>Low</t>
        </is>
      </c>
      <c r="L46" s="39">
        <f>COUNTIFS('MasterItemUsage'!$A$7:$A$100000,A46,'MasterItemUsage'!$F$7:$F$100000,B46)</f>
        <v/>
      </c>
      <c r="M46" s="39" t="n">
        <v>26</v>
      </c>
      <c r="N46" s="37" t="inlineStr">
        <is>
          <t>qlik-parser</t>
        </is>
      </c>
    </row>
    <row r="47">
      <c r="A47" s="32" t="inlineStr">
        <is>
          <t>Helpdesk Management</t>
        </is>
      </c>
      <c r="B47" s="32" t="inlineStr">
        <is>
          <t>vpjnFZ</t>
        </is>
      </c>
      <c r="C47" s="32" t="inlineStr">
        <is>
          <t>Total Cases</t>
        </is>
      </c>
      <c r="D47" s="42" t="inlineStr">
        <is>
          <t>Count(Distinct [%CaseId])</t>
        </is>
      </c>
      <c r="E47" s="42" t="inlineStr">
        <is>
          <t>This expression counts all cases.</t>
        </is>
      </c>
      <c r="F47" s="32" t="inlineStr"/>
      <c r="G47" s="32" t="inlineStr">
        <is>
          <t>No</t>
        </is>
      </c>
      <c r="H47" s="32" t="inlineStr">
        <is>
          <t>No</t>
        </is>
      </c>
      <c r="I47" s="32" t="inlineStr">
        <is>
          <t>No</t>
        </is>
      </c>
      <c r="J47" s="32" t="inlineStr">
        <is>
          <t>No</t>
        </is>
      </c>
      <c r="K47" s="32" t="inlineStr">
        <is>
          <t>Low</t>
        </is>
      </c>
      <c r="L47" s="34">
        <f>COUNTIFS('MasterItemUsage'!$A$7:$A$100000,A47,'MasterItemUsage'!$F$7:$F$100000,B47)</f>
        <v/>
      </c>
      <c r="M47" s="34" t="n">
        <v>25</v>
      </c>
      <c r="N47" s="32" t="inlineStr">
        <is>
          <t>qlik-parser</t>
        </is>
      </c>
    </row>
    <row r="48">
      <c r="A48" s="37" t="inlineStr">
        <is>
          <t>Helpdesk Management</t>
        </is>
      </c>
      <c r="B48" s="37" t="inlineStr">
        <is>
          <t>pBUN</t>
        </is>
      </c>
      <c r="C48" s="37" t="inlineStr">
        <is>
          <t>Low Priority Cases</t>
        </is>
      </c>
      <c r="D48" s="43" t="inlineStr">
        <is>
          <t>Count( {$&lt;Priority={'Low'} &gt;}  %CaseId)</t>
        </is>
      </c>
      <c r="E48" s="43" t="inlineStr">
        <is>
          <t>This expression only counts cases with a low priority.</t>
        </is>
      </c>
      <c r="F48" s="37" t="inlineStr"/>
      <c r="G48" s="37" t="inlineStr">
        <is>
          <t>Yes</t>
        </is>
      </c>
      <c r="H48" s="37" t="inlineStr">
        <is>
          <t>No</t>
        </is>
      </c>
      <c r="I48" s="37" t="inlineStr">
        <is>
          <t>No</t>
        </is>
      </c>
      <c r="J48" s="37" t="inlineStr">
        <is>
          <t>No</t>
        </is>
      </c>
      <c r="K48" s="37" t="inlineStr">
        <is>
          <t>Medium</t>
        </is>
      </c>
      <c r="L48" s="39">
        <f>COUNTIFS('MasterItemUsage'!$A$7:$A$100000,A48,'MasterItemUsage'!$F$7:$F$100000,B48)</f>
        <v/>
      </c>
      <c r="M48" s="39" t="n">
        <v>39</v>
      </c>
      <c r="N48" s="37" t="inlineStr">
        <is>
          <t>qlik-parser</t>
        </is>
      </c>
    </row>
    <row r="49">
      <c r="A49" s="32" t="inlineStr">
        <is>
          <t>Helpdesk Management</t>
        </is>
      </c>
      <c r="B49" s="32" t="inlineStr">
        <is>
          <t>eqZjE</t>
        </is>
      </c>
      <c r="C49" s="32" t="inlineStr">
        <is>
          <t>Avg Case Duration</t>
        </is>
      </c>
      <c r="D49" s="42" t="inlineStr">
        <is>
          <t>Avg([Case Duration Time])</t>
        </is>
      </c>
      <c r="E49" s="42" t="inlineStr">
        <is>
          <t>This measure caluclates the average case duration time</t>
        </is>
      </c>
      <c r="F49" s="32" t="inlineStr"/>
      <c r="G49" s="32" t="inlineStr">
        <is>
          <t>No</t>
        </is>
      </c>
      <c r="H49" s="32" t="inlineStr">
        <is>
          <t>No</t>
        </is>
      </c>
      <c r="I49" s="32" t="inlineStr">
        <is>
          <t>No</t>
        </is>
      </c>
      <c r="J49" s="32" t="inlineStr">
        <is>
          <t>No</t>
        </is>
      </c>
      <c r="K49" s="32" t="inlineStr">
        <is>
          <t>Low</t>
        </is>
      </c>
      <c r="L49" s="34">
        <f>COUNTIFS('MasterItemUsage'!$A$7:$A$100000,A49,'MasterItemUsage'!$F$7:$F$100000,B49)</f>
        <v/>
      </c>
      <c r="M49" s="34" t="n">
        <v>25</v>
      </c>
      <c r="N49" s="32" t="inlineStr">
        <is>
          <t>qlik-parser</t>
        </is>
      </c>
    </row>
    <row r="50">
      <c r="A50" s="37" t="inlineStr">
        <is>
          <t>Helpdesk Management</t>
        </is>
      </c>
      <c r="B50" s="37" t="inlineStr">
        <is>
          <t>QYLgZ</t>
        </is>
      </c>
      <c r="C50" s="37" t="inlineStr">
        <is>
          <t>Open Cases - Low</t>
        </is>
      </c>
      <c r="D50" s="43" t="inlineStr">
        <is>
          <t>Count( {$&lt;Priority={'Low'}, Status -={'Closed'} &gt;} Distinct %CaseId )</t>
        </is>
      </c>
      <c r="E50" s="43" t="inlineStr">
        <is>
          <t>These are Low Priority Open Cases that are not closed.</t>
        </is>
      </c>
      <c r="F50" s="37" t="inlineStr"/>
      <c r="G50" s="37" t="inlineStr">
        <is>
          <t>Yes</t>
        </is>
      </c>
      <c r="H50" s="37" t="inlineStr">
        <is>
          <t>No</t>
        </is>
      </c>
      <c r="I50" s="37" t="inlineStr">
        <is>
          <t>No</t>
        </is>
      </c>
      <c r="J50" s="37" t="inlineStr">
        <is>
          <t>No</t>
        </is>
      </c>
      <c r="K50" s="37" t="inlineStr">
        <is>
          <t>Medium</t>
        </is>
      </c>
      <c r="L50" s="39">
        <f>COUNTIFS('MasterItemUsage'!$A$7:$A$100000,A50,'MasterItemUsage'!$F$7:$F$100000,B50)</f>
        <v/>
      </c>
      <c r="M50" s="39" t="n">
        <v>69</v>
      </c>
      <c r="N50" s="37" t="inlineStr">
        <is>
          <t>qlik-parser</t>
        </is>
      </c>
    </row>
    <row r="51">
      <c r="A51" s="32" t="inlineStr">
        <is>
          <t>Helpdesk Management</t>
        </is>
      </c>
      <c r="B51" s="32" t="inlineStr">
        <is>
          <t>emtEjp</t>
        </is>
      </c>
      <c r="C51" s="32" t="inlineStr">
        <is>
          <t>Case Duration (dd hh:mm)</t>
        </is>
      </c>
      <c r="D51" s="42" t="inlineStr">
        <is>
          <t>If(Count({$&lt;[Case Is Closed]={'True'} &gt;}  %CaseId)&gt;0, Avg ([Case Duration Time]),0)+ If(Count({$&lt;[Case Is Closed]={'False'} &gt;}  %CaseId)&gt;0, Avg([Case Aging]), 0)</t>
        </is>
      </c>
      <c r="E51" s="42" t="inlineStr">
        <is>
          <t>This is case duration shown in days:hours:minutes. It takes the case Open Date and the Case Close Date and calculates the interval.</t>
        </is>
      </c>
      <c r="F51" s="32" t="inlineStr"/>
      <c r="G51" s="32" t="inlineStr">
        <is>
          <t>Yes</t>
        </is>
      </c>
      <c r="H51" s="32" t="inlineStr">
        <is>
          <t>No</t>
        </is>
      </c>
      <c r="I51" s="32" t="inlineStr">
        <is>
          <t>Yes</t>
        </is>
      </c>
      <c r="J51" s="32" t="inlineStr">
        <is>
          <t>No</t>
        </is>
      </c>
      <c r="K51" s="32" t="inlineStr">
        <is>
          <t>Medium</t>
        </is>
      </c>
      <c r="L51" s="34">
        <f>COUNTIFS('MasterItemUsage'!$A$7:$A$100000,A51,'MasterItemUsage'!$F$7:$F$100000,B51)</f>
        <v/>
      </c>
      <c r="M51" s="34" t="n">
        <v>161</v>
      </c>
      <c r="N51" s="32" t="inlineStr">
        <is>
          <t>qlik-parser</t>
        </is>
      </c>
    </row>
    <row r="52">
      <c r="A52" s="37" t="inlineStr">
        <is>
          <t>Helpdesk Management</t>
        </is>
      </c>
      <c r="B52" s="37" t="inlineStr">
        <is>
          <t>RWUpaMm</t>
        </is>
      </c>
      <c r="C52" s="37" t="inlineStr">
        <is>
          <t>Tenure</t>
        </is>
      </c>
      <c r="D52" s="43" t="inlineStr">
        <is>
          <t>dual(floor((vToday - [Employee Hire Date])/365) &amp; 'y ' &amp; floor(((vToday - [Employee Hire Date])/365 - floor((vToday - [Employee Hire Date])/365)) * 12) &amp; 'm', vToday - [Employee Hire Date])</t>
        </is>
      </c>
      <c r="E52" s="43" t="inlineStr">
        <is>
          <t>This expression calculates the amount of time that an employee has been employed with the comapny.</t>
        </is>
      </c>
      <c r="F52" s="37" t="inlineStr"/>
      <c r="G52" s="37" t="inlineStr">
        <is>
          <t>No</t>
        </is>
      </c>
      <c r="H52" s="37" t="inlineStr">
        <is>
          <t>No</t>
        </is>
      </c>
      <c r="I52" s="37" t="inlineStr">
        <is>
          <t>No</t>
        </is>
      </c>
      <c r="J52" s="37" t="inlineStr">
        <is>
          <t>No</t>
        </is>
      </c>
      <c r="K52" s="37" t="inlineStr">
        <is>
          <t>Medium</t>
        </is>
      </c>
      <c r="L52" s="39">
        <f>COUNTIFS('MasterItemUsage'!$A$7:$A$100000,A52,'MasterItemUsage'!$F$7:$F$100000,B52)</f>
        <v/>
      </c>
      <c r="M52" s="39" t="n">
        <v>189</v>
      </c>
      <c r="N52" s="37" t="inlineStr">
        <is>
          <t>qlik-parser</t>
        </is>
      </c>
    </row>
    <row r="53">
      <c r="A53" s="32" t="inlineStr">
        <is>
          <t>Helpdesk Management</t>
        </is>
      </c>
      <c r="B53" s="32" t="inlineStr">
        <is>
          <t>KKAuzYz</t>
        </is>
      </c>
      <c r="C53" s="32" t="inlineStr">
        <is>
          <t>Open Cases - Medium</t>
        </is>
      </c>
      <c r="D53" s="42" t="inlineStr">
        <is>
          <t>Count( {$&lt;Priority={'Medium'}, Status -={'Closed'} &gt;} Distinct %CaseId )</t>
        </is>
      </c>
      <c r="E53" s="42" t="inlineStr">
        <is>
          <t>These are Medium Priority Open Cases that are not closed.</t>
        </is>
      </c>
      <c r="F53" s="32" t="inlineStr"/>
      <c r="G53" s="32" t="inlineStr">
        <is>
          <t>Yes</t>
        </is>
      </c>
      <c r="H53" s="32" t="inlineStr">
        <is>
          <t>No</t>
        </is>
      </c>
      <c r="I53" s="32" t="inlineStr">
        <is>
          <t>No</t>
        </is>
      </c>
      <c r="J53" s="32" t="inlineStr">
        <is>
          <t>No</t>
        </is>
      </c>
      <c r="K53" s="32" t="inlineStr">
        <is>
          <t>Medium</t>
        </is>
      </c>
      <c r="L53" s="34">
        <f>COUNTIFS('MasterItemUsage'!$A$7:$A$100000,A53,'MasterItemUsage'!$F$7:$F$100000,B53)</f>
        <v/>
      </c>
      <c r="M53" s="34" t="n">
        <v>72</v>
      </c>
      <c r="N53" s="32" t="inlineStr">
        <is>
          <t>qlik-parser</t>
        </is>
      </c>
    </row>
    <row r="54">
      <c r="A54" s="37" t="inlineStr">
        <is>
          <t>Helpdesk Management</t>
        </is>
      </c>
      <c r="B54" s="37" t="inlineStr">
        <is>
          <t>JhACmaJ</t>
        </is>
      </c>
      <c r="C54" s="37" t="inlineStr">
        <is>
          <t>Oldest Case</t>
        </is>
      </c>
      <c r="D54" s="43" t="inlineStr">
        <is>
          <t>Num($(vToday)-(MinString( {$&lt;Status -={'Closed'} &gt;} [Case Created Date])),'#,##0')</t>
        </is>
      </c>
      <c r="E54" s="43" t="inlineStr">
        <is>
          <t>This expression calculates to find the oldest case</t>
        </is>
      </c>
      <c r="F54" s="37" t="inlineStr"/>
      <c r="G54" s="37" t="inlineStr">
        <is>
          <t>Yes</t>
        </is>
      </c>
      <c r="H54" s="37" t="inlineStr">
        <is>
          <t>No</t>
        </is>
      </c>
      <c r="I54" s="37" t="inlineStr">
        <is>
          <t>No</t>
        </is>
      </c>
      <c r="J54" s="37" t="inlineStr">
        <is>
          <t>Yes</t>
        </is>
      </c>
      <c r="K54" s="37" t="inlineStr">
        <is>
          <t>Medium</t>
        </is>
      </c>
      <c r="L54" s="39">
        <f>COUNTIFS('MasterItemUsage'!$A$7:$A$100000,A54,'MasterItemUsage'!$F$7:$F$100000,B54)</f>
        <v/>
      </c>
      <c r="M54" s="39" t="n">
        <v>82</v>
      </c>
      <c r="N54" s="37" t="inlineStr">
        <is>
          <t>qlik-parser</t>
        </is>
      </c>
    </row>
    <row r="55">
      <c r="A55" s="32" t="inlineStr">
        <is>
          <t>Helpdesk Management</t>
        </is>
      </c>
      <c r="B55" s="32" t="inlineStr">
        <is>
          <t>NRbtFne</t>
        </is>
      </c>
      <c r="C55" s="32" t="inlineStr">
        <is>
          <t>Most Cases</t>
        </is>
      </c>
      <c r="D55" s="42" t="inlineStr">
        <is>
          <t>firstsortedvalue( Priority, -Aggr(Count({&lt;[Cases Open/Closed]={'Open Cases'}&gt;}Distinct [%CaseId] ),[Case Owner Group],Priority))</t>
        </is>
      </c>
      <c r="E55" s="42" t="inlineStr">
        <is>
          <t>The priority group with the most open cases.</t>
        </is>
      </c>
      <c r="F55" s="32" t="inlineStr"/>
      <c r="G55" s="32" t="inlineStr">
        <is>
          <t>Yes</t>
        </is>
      </c>
      <c r="H55" s="32" t="inlineStr">
        <is>
          <t>Yes</t>
        </is>
      </c>
      <c r="I55" s="32" t="inlineStr">
        <is>
          <t>No</t>
        </is>
      </c>
      <c r="J55" s="32" t="inlineStr">
        <is>
          <t>No</t>
        </is>
      </c>
      <c r="K55" s="32" t="inlineStr">
        <is>
          <t>High</t>
        </is>
      </c>
      <c r="L55" s="34">
        <f>COUNTIFS('MasterItemUsage'!$A$7:$A$100000,A55,'MasterItemUsage'!$F$7:$F$100000,B55)</f>
        <v/>
      </c>
      <c r="M55" s="34" t="n">
        <v>128</v>
      </c>
      <c r="N55" s="32" t="inlineStr">
        <is>
          <t>qlik-parser</t>
        </is>
      </c>
    </row>
    <row r="56">
      <c r="A56" s="37" t="inlineStr">
        <is>
          <t>Tutorial creazione nuova app</t>
        </is>
      </c>
      <c r="B56" s="37" t="inlineStr">
        <is>
          <t>pHjKV</t>
        </is>
      </c>
      <c r="C56" s="37" t="inlineStr">
        <is>
          <t>Sales</t>
        </is>
      </c>
      <c r="D56" s="43" t="inlineStr">
        <is>
          <t>Sum(Sales)</t>
        </is>
      </c>
      <c r="E56" s="43" t="inlineStr"/>
      <c r="F56" s="37" t="inlineStr"/>
      <c r="G56" s="37" t="inlineStr">
        <is>
          <t>No</t>
        </is>
      </c>
      <c r="H56" s="37" t="inlineStr">
        <is>
          <t>No</t>
        </is>
      </c>
      <c r="I56" s="37" t="inlineStr">
        <is>
          <t>No</t>
        </is>
      </c>
      <c r="J56" s="37" t="inlineStr">
        <is>
          <t>No</t>
        </is>
      </c>
      <c r="K56" s="37" t="inlineStr">
        <is>
          <t>Low</t>
        </is>
      </c>
      <c r="L56" s="39">
        <f>COUNTIFS('MasterItemUsage'!$A$7:$A$100000,A56,'MasterItemUsage'!$F$7:$F$100000,B56)</f>
        <v/>
      </c>
      <c r="M56" s="39" t="n">
        <v>10</v>
      </c>
      <c r="N56" s="37" t="inlineStr">
        <is>
          <t>qlik-parser</t>
        </is>
      </c>
    </row>
    <row r="57">
      <c r="A57" s="32" t="inlineStr">
        <is>
          <t>Tutorial creazione nuova app</t>
        </is>
      </c>
      <c r="B57" s="32" t="inlineStr">
        <is>
          <t>SKnVL</t>
        </is>
      </c>
      <c r="C57" s="32" t="inlineStr">
        <is>
          <t>Margin Percent</t>
        </is>
      </c>
      <c r="D57" s="42" t="inlineStr">
        <is>
          <t>(Sum(Sales) - Sum(Cost)) / Sum(Sales)</t>
        </is>
      </c>
      <c r="E57" s="42" t="inlineStr"/>
      <c r="F57" s="32" t="inlineStr"/>
      <c r="G57" s="32" t="inlineStr">
        <is>
          <t>No</t>
        </is>
      </c>
      <c r="H57" s="32" t="inlineStr">
        <is>
          <t>No</t>
        </is>
      </c>
      <c r="I57" s="32" t="inlineStr">
        <is>
          <t>No</t>
        </is>
      </c>
      <c r="J57" s="32" t="inlineStr">
        <is>
          <t>No</t>
        </is>
      </c>
      <c r="K57" s="32" t="inlineStr">
        <is>
          <t>Low</t>
        </is>
      </c>
      <c r="L57" s="34">
        <f>COUNTIFS('MasterItemUsage'!$A$7:$A$100000,A57,'MasterItemUsage'!$F$7:$F$100000,B57)</f>
        <v/>
      </c>
      <c r="M57" s="34" t="n">
        <v>37</v>
      </c>
      <c r="N57" s="32" t="inlineStr">
        <is>
          <t>qlik-parser</t>
        </is>
      </c>
    </row>
    <row r="58">
      <c r="A58" s="37" t="inlineStr">
        <is>
          <t>Tutorial creazione nuova app</t>
        </is>
      </c>
      <c r="B58" s="37" t="inlineStr">
        <is>
          <t>xNwJu</t>
        </is>
      </c>
      <c r="C58" s="37" t="inlineStr">
        <is>
          <t>Margin</t>
        </is>
      </c>
      <c r="D58" s="43" t="inlineStr">
        <is>
          <t>Sum(Margin)</t>
        </is>
      </c>
      <c r="E58" s="43" t="inlineStr"/>
      <c r="F58" s="37" t="inlineStr"/>
      <c r="G58" s="37" t="inlineStr">
        <is>
          <t>No</t>
        </is>
      </c>
      <c r="H58" s="37" t="inlineStr">
        <is>
          <t>No</t>
        </is>
      </c>
      <c r="I58" s="37" t="inlineStr">
        <is>
          <t>No</t>
        </is>
      </c>
      <c r="J58" s="37" t="inlineStr">
        <is>
          <t>No</t>
        </is>
      </c>
      <c r="K58" s="37" t="inlineStr">
        <is>
          <t>Low</t>
        </is>
      </c>
      <c r="L58" s="39">
        <f>COUNTIFS('MasterItemUsage'!$A$7:$A$100000,A58,'MasterItemUsage'!$F$7:$F$100000,B58)</f>
        <v/>
      </c>
      <c r="M58" s="39" t="n">
        <v>11</v>
      </c>
      <c r="N58" s="37" t="inlineStr">
        <is>
          <t>qlik-parser</t>
        </is>
      </c>
    </row>
    <row r="59">
      <c r="A59" s="32" t="inlineStr">
        <is>
          <t>Tutorial creazione nuova app</t>
        </is>
      </c>
      <c r="B59" s="32" t="inlineStr">
        <is>
          <t>CdSMz</t>
        </is>
      </c>
      <c r="C59" s="32" t="inlineStr">
        <is>
          <t>Quantity</t>
        </is>
      </c>
      <c r="D59" s="42" t="inlineStr">
        <is>
          <t>Sum([Sales Qty])</t>
        </is>
      </c>
      <c r="E59" s="42" t="inlineStr"/>
      <c r="F59" s="32" t="inlineStr"/>
      <c r="G59" s="32" t="inlineStr">
        <is>
          <t>No</t>
        </is>
      </c>
      <c r="H59" s="32" t="inlineStr">
        <is>
          <t>No</t>
        </is>
      </c>
      <c r="I59" s="32" t="inlineStr">
        <is>
          <t>No</t>
        </is>
      </c>
      <c r="J59" s="32" t="inlineStr">
        <is>
          <t>No</t>
        </is>
      </c>
      <c r="K59" s="32" t="inlineStr">
        <is>
          <t>Low</t>
        </is>
      </c>
      <c r="L59" s="34">
        <f>COUNTIFS('MasterItemUsage'!$A$7:$A$100000,A59,'MasterItemUsage'!$F$7:$F$100000,B59)</f>
        <v/>
      </c>
      <c r="M59" s="34" t="n">
        <v>16</v>
      </c>
      <c r="N59" s="32" t="inlineStr">
        <is>
          <t>qlik-parser</t>
        </is>
      </c>
    </row>
    <row r="60">
      <c r="A60" s="37" t="inlineStr">
        <is>
          <t>Tutorial creazione nuova app</t>
        </is>
      </c>
      <c r="B60" s="37" t="inlineStr">
        <is>
          <t>LsPLsq</t>
        </is>
      </c>
      <c r="C60" s="37" t="inlineStr">
        <is>
          <t># of Invoices</t>
        </is>
      </c>
      <c r="D60" s="43" t="inlineStr">
        <is>
          <t>Count(Distinct([Invoice Number]))</t>
        </is>
      </c>
      <c r="E60" s="43" t="inlineStr"/>
      <c r="F60" s="37" t="inlineStr"/>
      <c r="G60" s="37" t="inlineStr">
        <is>
          <t>No</t>
        </is>
      </c>
      <c r="H60" s="37" t="inlineStr">
        <is>
          <t>No</t>
        </is>
      </c>
      <c r="I60" s="37" t="inlineStr">
        <is>
          <t>No</t>
        </is>
      </c>
      <c r="J60" s="37" t="inlineStr">
        <is>
          <t>No</t>
        </is>
      </c>
      <c r="K60" s="37" t="inlineStr">
        <is>
          <t>Low</t>
        </is>
      </c>
      <c r="L60" s="39">
        <f>COUNTIFS('MasterItemUsage'!$A$7:$A$100000,A60,'MasterItemUsage'!$F$7:$F$100000,B60)</f>
        <v/>
      </c>
      <c r="M60" s="39" t="n">
        <v>33</v>
      </c>
      <c r="N60" s="37" t="inlineStr">
        <is>
          <t>qlik-parser</t>
        </is>
      </c>
    </row>
    <row r="61">
      <c r="A61" s="32" t="inlineStr">
        <is>
          <t>Tutorial creazione nuova app</t>
        </is>
      </c>
      <c r="B61" s="32" t="inlineStr">
        <is>
          <t>VaEaEf</t>
        </is>
      </c>
      <c r="C61" s="32" t="inlineStr">
        <is>
          <t>Average Sales per Invoice</t>
        </is>
      </c>
      <c r="D61" s="42" t="inlineStr">
        <is>
          <t>Sum(Sales)/Count(Distinct([Invoice Number]))</t>
        </is>
      </c>
      <c r="E61" s="42" t="inlineStr"/>
      <c r="F61" s="32" t="inlineStr"/>
      <c r="G61" s="32" t="inlineStr">
        <is>
          <t>No</t>
        </is>
      </c>
      <c r="H61" s="32" t="inlineStr">
        <is>
          <t>No</t>
        </is>
      </c>
      <c r="I61" s="32" t="inlineStr">
        <is>
          <t>No</t>
        </is>
      </c>
      <c r="J61" s="32" t="inlineStr">
        <is>
          <t>No</t>
        </is>
      </c>
      <c r="K61" s="32" t="inlineStr">
        <is>
          <t>Low</t>
        </is>
      </c>
      <c r="L61" s="34">
        <f>COUNTIFS('MasterItemUsage'!$A$7:$A$100000,A61,'MasterItemUsage'!$F$7:$F$100000,B61)</f>
        <v/>
      </c>
      <c r="M61" s="34" t="n">
        <v>44</v>
      </c>
      <c r="N61" s="32" t="inlineStr">
        <is>
          <t>qlik-parser</t>
        </is>
      </c>
    </row>
  </sheetData>
  <autoFilter ref="A6:N61"/>
  <mergeCells count="1">
    <mergeCell ref="C2:J3"/>
  </mergeCells>
  <conditionalFormatting sqref="K7:K61">
    <cfRule type="expression" priority="1" dxfId="0">
      <formula>K7="High"</formula>
    </cfRule>
    <cfRule type="expression" priority="2" dxfId="1">
      <formula>K7="Medium"</formula>
    </cfRule>
    <cfRule type="expression" priority="3" dxfId="2">
      <formula>K7="Low"</formula>
    </cfRule>
  </conditionalFormatting>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2C4650"/>
    <outlinePr summaryBelow="1" summaryRight="1"/>
    <pageSetUpPr fitToPage="1"/>
  </sheetPr>
  <dimension ref="A2:I35"/>
  <sheetViews>
    <sheetView showGridLines="0" workbookViewId="0">
      <pane ySplit="6" topLeftCell="A7" activePane="bottomLeft" state="frozen"/>
      <selection pane="bottomLeft" activeCell="A1" sqref="A1"/>
    </sheetView>
  </sheetViews>
  <sheetFormatPr baseColWidth="8" defaultRowHeight="15"/>
  <cols>
    <col width="26" customWidth="1" min="1" max="1"/>
    <col width="14" customWidth="1" min="2" max="2"/>
    <col width="30" customWidth="1" min="3" max="3"/>
    <col width="36" customWidth="1" min="4" max="4"/>
    <col width="11" customWidth="1" min="5" max="5"/>
    <col width="50" customWidth="1" min="6" max="6"/>
    <col width="14" customWidth="1" min="7" max="7"/>
    <col width="13" customWidth="1" min="8" max="8"/>
    <col width="12" customWidth="1" min="9" max="9"/>
  </cols>
  <sheetData>
    <row r="1" ht="24" customHeight="1"/>
    <row r="2" ht="24" customHeight="1">
      <c r="C2" s="1" t="inlineStr">
        <is>
          <t>Master dimensions  ·  the dimension libraries</t>
        </is>
      </c>
    </row>
    <row r="3" ht="20" customHeight="1"/>
    <row r="4" ht="10" customHeight="1"/>
    <row r="5" ht="18" customHeight="1">
      <c r="A5" s="29">
        <f>HYPERLINK("#'Discovery'!A1","«  Back to Discovery")</f>
        <v/>
      </c>
      <c r="B5" s="30" t="inlineStr">
        <is>
          <t>Library dimensions: fields, single or drill-down, usage.</t>
        </is>
      </c>
    </row>
    <row r="6" ht="30" customHeight="1">
      <c r="A6" s="31" t="inlineStr">
        <is>
          <t>App</t>
        </is>
      </c>
      <c r="B6" s="31" t="inlineStr">
        <is>
          <t>ID</t>
        </is>
      </c>
      <c r="C6" s="31" t="inlineStr">
        <is>
          <t>Label</t>
        </is>
      </c>
      <c r="D6" s="31" t="inlineStr">
        <is>
          <t>Fields</t>
        </is>
      </c>
      <c r="E6" s="31" t="inlineStr">
        <is>
          <t>Kind</t>
        </is>
      </c>
      <c r="F6" s="31" t="inlineStr">
        <is>
          <t>Description</t>
        </is>
      </c>
      <c r="G6" s="31" t="inlineStr">
        <is>
          <t>Tags</t>
        </is>
      </c>
      <c r="H6" s="31" t="inlineStr">
        <is>
          <t>Used in visualizations</t>
        </is>
      </c>
      <c r="I6" s="31" t="inlineStr">
        <is>
          <t>Found by</t>
        </is>
      </c>
    </row>
    <row r="7">
      <c r="A7" s="32" t="inlineStr">
        <is>
          <t>Executive Dashboard</t>
        </is>
      </c>
      <c r="B7" s="32" t="inlineStr">
        <is>
          <t>EzubBQ</t>
        </is>
      </c>
      <c r="C7" s="32" t="inlineStr">
        <is>
          <t>Customer Number</t>
        </is>
      </c>
      <c r="D7" s="42" t="inlineStr">
        <is>
          <t>Customer Number</t>
        </is>
      </c>
      <c r="E7" s="32" t="inlineStr">
        <is>
          <t>Single</t>
        </is>
      </c>
      <c r="F7" s="42" t="inlineStr"/>
      <c r="G7" s="32" t="inlineStr"/>
      <c r="H7" s="34">
        <f>COUNTIFS('MasterItemUsage'!$A$7:$A$100000,A7,'MasterItemUsage'!$F$7:$F$100000,B7)</f>
        <v/>
      </c>
      <c r="I7" s="32" t="inlineStr">
        <is>
          <t>qlik-parser</t>
        </is>
      </c>
    </row>
    <row r="8">
      <c r="A8" s="37" t="inlineStr">
        <is>
          <t>Executive Dashboard</t>
        </is>
      </c>
      <c r="B8" s="37" t="inlineStr">
        <is>
          <t>XFhtUb</t>
        </is>
      </c>
      <c r="C8" s="37" t="inlineStr">
        <is>
          <t>Sales Rep Name</t>
        </is>
      </c>
      <c r="D8" s="43" t="inlineStr">
        <is>
          <t>Sales Rep Name</t>
        </is>
      </c>
      <c r="E8" s="37" t="inlineStr">
        <is>
          <t>Single</t>
        </is>
      </c>
      <c r="F8" s="43" t="inlineStr"/>
      <c r="G8" s="37" t="inlineStr"/>
      <c r="H8" s="39">
        <f>COUNTIFS('MasterItemUsage'!$A$7:$A$100000,A8,'MasterItemUsage'!$F$7:$F$100000,B8)</f>
        <v/>
      </c>
      <c r="I8" s="37" t="inlineStr">
        <is>
          <t>qlik-parser</t>
        </is>
      </c>
    </row>
    <row r="9">
      <c r="A9" s="32" t="inlineStr">
        <is>
          <t>Executive Dashboard</t>
        </is>
      </c>
      <c r="B9" s="32" t="inlineStr">
        <is>
          <t>ANYTpUm</t>
        </is>
      </c>
      <c r="C9" s="32" t="inlineStr">
        <is>
          <t>Product Type Desc</t>
        </is>
      </c>
      <c r="D9" s="42" t="inlineStr">
        <is>
          <t>Product Type Desc</t>
        </is>
      </c>
      <c r="E9" s="32" t="inlineStr">
        <is>
          <t>Single</t>
        </is>
      </c>
      <c r="F9" s="42" t="inlineStr"/>
      <c r="G9" s="32" t="inlineStr">
        <is>
          <t>Product Hierarchy</t>
        </is>
      </c>
      <c r="H9" s="34">
        <f>COUNTIFS('MasterItemUsage'!$A$7:$A$100000,A9,'MasterItemUsage'!$F$7:$F$100000,B9)</f>
        <v/>
      </c>
      <c r="I9" s="32" t="inlineStr">
        <is>
          <t>qlik-parser</t>
        </is>
      </c>
    </row>
    <row r="10">
      <c r="A10" s="37" t="inlineStr">
        <is>
          <t>Executive Dashboard</t>
        </is>
      </c>
      <c r="B10" s="37" t="inlineStr">
        <is>
          <t>pmresb</t>
        </is>
      </c>
      <c r="C10" s="37" t="inlineStr">
        <is>
          <t>Product</t>
        </is>
      </c>
      <c r="D10" s="43" t="inlineStr">
        <is>
          <t>Line Desc 1</t>
        </is>
      </c>
      <c r="E10" s="37" t="inlineStr">
        <is>
          <t>Single</t>
        </is>
      </c>
      <c r="F10" s="43" t="inlineStr"/>
      <c r="G10" s="37" t="inlineStr">
        <is>
          <t>Product Hierarchy</t>
        </is>
      </c>
      <c r="H10" s="39">
        <f>COUNTIFS('MasterItemUsage'!$A$7:$A$100000,A10,'MasterItemUsage'!$F$7:$F$100000,B10)</f>
        <v/>
      </c>
      <c r="I10" s="37" t="inlineStr">
        <is>
          <t>qlik-parser</t>
        </is>
      </c>
    </row>
    <row r="11">
      <c r="A11" s="32" t="inlineStr">
        <is>
          <t>Executive Dashboard</t>
        </is>
      </c>
      <c r="B11" s="32" t="inlineStr">
        <is>
          <t>rAWLLGj</t>
        </is>
      </c>
      <c r="C11" s="32" t="inlineStr">
        <is>
          <t>Product Group</t>
        </is>
      </c>
      <c r="D11" s="42" t="inlineStr">
        <is>
          <t>Product Group Desc</t>
        </is>
      </c>
      <c r="E11" s="32" t="inlineStr">
        <is>
          <t>Single</t>
        </is>
      </c>
      <c r="F11" s="42" t="inlineStr"/>
      <c r="G11" s="32" t="inlineStr">
        <is>
          <t>Product Hierarchy</t>
        </is>
      </c>
      <c r="H11" s="34">
        <f>COUNTIFS('MasterItemUsage'!$A$7:$A$100000,A11,'MasterItemUsage'!$F$7:$F$100000,B11)</f>
        <v/>
      </c>
      <c r="I11" s="32" t="inlineStr">
        <is>
          <t>qlik-parser</t>
        </is>
      </c>
    </row>
    <row r="12">
      <c r="A12" s="37" t="inlineStr">
        <is>
          <t>Executive Dashboard</t>
        </is>
      </c>
      <c r="B12" s="37" t="inlineStr">
        <is>
          <t>PjEUh</t>
        </is>
      </c>
      <c r="C12" s="37" t="inlineStr">
        <is>
          <t>Order Number</t>
        </is>
      </c>
      <c r="D12" s="43" t="inlineStr">
        <is>
          <t>Order Number</t>
        </is>
      </c>
      <c r="E12" s="37" t="inlineStr">
        <is>
          <t>Single</t>
        </is>
      </c>
      <c r="F12" s="43" t="inlineStr"/>
      <c r="G12" s="37" t="inlineStr"/>
      <c r="H12" s="39">
        <f>COUNTIFS('MasterItemUsage'!$A$7:$A$100000,A12,'MasterItemUsage'!$F$7:$F$100000,B12)</f>
        <v/>
      </c>
      <c r="I12" s="37" t="inlineStr">
        <is>
          <t>qlik-parser</t>
        </is>
      </c>
    </row>
    <row r="13">
      <c r="A13" s="32" t="inlineStr">
        <is>
          <t>Executive Dashboard</t>
        </is>
      </c>
      <c r="B13" s="32" t="inlineStr">
        <is>
          <t>nrxFRV</t>
        </is>
      </c>
      <c r="C13" s="32" t="inlineStr">
        <is>
          <t>Account Group</t>
        </is>
      </c>
      <c r="D13" s="42" t="inlineStr">
        <is>
          <t>AccountGroupDesc</t>
        </is>
      </c>
      <c r="E13" s="32" t="inlineStr">
        <is>
          <t>Single</t>
        </is>
      </c>
      <c r="F13" s="42" t="inlineStr"/>
      <c r="G13" s="32" t="inlineStr"/>
      <c r="H13" s="34">
        <f>COUNTIFS('MasterItemUsage'!$A$7:$A$100000,A13,'MasterItemUsage'!$F$7:$F$100000,B13)</f>
        <v/>
      </c>
      <c r="I13" s="32" t="inlineStr">
        <is>
          <t>qlik-parser</t>
        </is>
      </c>
    </row>
    <row r="14">
      <c r="A14" s="37" t="inlineStr">
        <is>
          <t>Executive Dashboard</t>
        </is>
      </c>
      <c r="B14" s="37" t="inlineStr">
        <is>
          <t>jgxpDbw</t>
        </is>
      </c>
      <c r="C14" s="37" t="inlineStr">
        <is>
          <t>Region</t>
        </is>
      </c>
      <c r="D14" s="43" t="inlineStr">
        <is>
          <t>Region</t>
        </is>
      </c>
      <c r="E14" s="37" t="inlineStr">
        <is>
          <t>Single</t>
        </is>
      </c>
      <c r="F14" s="43" t="inlineStr"/>
      <c r="G14" s="37" t="inlineStr"/>
      <c r="H14" s="39">
        <f>COUNTIFS('MasterItemUsage'!$A$7:$A$100000,A14,'MasterItemUsage'!$F$7:$F$100000,B14)</f>
        <v/>
      </c>
      <c r="I14" s="37" t="inlineStr">
        <is>
          <t>qlik-parser</t>
        </is>
      </c>
    </row>
    <row r="15">
      <c r="A15" s="32" t="inlineStr">
        <is>
          <t>Executive Dashboard</t>
        </is>
      </c>
      <c r="B15" s="32" t="inlineStr">
        <is>
          <t>HnEfUp</t>
        </is>
      </c>
      <c r="C15" s="32" t="inlineStr">
        <is>
          <t>Year Month</t>
        </is>
      </c>
      <c r="D15" s="42" t="inlineStr">
        <is>
          <t>YYYYMM</t>
        </is>
      </c>
      <c r="E15" s="32" t="inlineStr">
        <is>
          <t>Single</t>
        </is>
      </c>
      <c r="F15" s="42" t="inlineStr"/>
      <c r="G15" s="32" t="inlineStr"/>
      <c r="H15" s="34">
        <f>COUNTIFS('MasterItemUsage'!$A$7:$A$100000,A15,'MasterItemUsage'!$F$7:$F$100000,B15)</f>
        <v/>
      </c>
      <c r="I15" s="32" t="inlineStr">
        <is>
          <t>qlik-parser</t>
        </is>
      </c>
    </row>
    <row r="16">
      <c r="A16" s="37" t="inlineStr">
        <is>
          <t>Executive Dashboard</t>
        </is>
      </c>
      <c r="B16" s="37" t="inlineStr">
        <is>
          <t>DcuPcq</t>
        </is>
      </c>
      <c r="C16" s="37" t="inlineStr">
        <is>
          <t>Product Sub Group Desc</t>
        </is>
      </c>
      <c r="D16" s="43" t="inlineStr">
        <is>
          <t>Product Sub Group Desc</t>
        </is>
      </c>
      <c r="E16" s="37" t="inlineStr">
        <is>
          <t>Single</t>
        </is>
      </c>
      <c r="F16" s="43" t="inlineStr">
        <is>
          <t>Product sub group description</t>
        </is>
      </c>
      <c r="G16" s="37" t="inlineStr">
        <is>
          <t>Product Hierarchy</t>
        </is>
      </c>
      <c r="H16" s="39">
        <f>COUNTIFS('MasterItemUsage'!$A$7:$A$100000,A16,'MasterItemUsage'!$F$7:$F$100000,B16)</f>
        <v/>
      </c>
      <c r="I16" s="37" t="inlineStr">
        <is>
          <t>qlik-parser</t>
        </is>
      </c>
    </row>
    <row r="17">
      <c r="A17" s="32" t="inlineStr">
        <is>
          <t>Executive Dashboard</t>
        </is>
      </c>
      <c r="B17" s="32" t="inlineStr">
        <is>
          <t>aLVsP</t>
        </is>
      </c>
      <c r="C17" s="32" t="inlineStr">
        <is>
          <t>Account</t>
        </is>
      </c>
      <c r="D17" s="42" t="inlineStr">
        <is>
          <t>AccountDesc</t>
        </is>
      </c>
      <c r="E17" s="32" t="inlineStr">
        <is>
          <t>Single</t>
        </is>
      </c>
      <c r="F17" s="42" t="inlineStr">
        <is>
          <t>Account description.</t>
        </is>
      </c>
      <c r="G17" s="32" t="inlineStr"/>
      <c r="H17" s="34">
        <f>COUNTIFS('MasterItemUsage'!$A$7:$A$100000,A17,'MasterItemUsage'!$F$7:$F$100000,B17)</f>
        <v/>
      </c>
      <c r="I17" s="32" t="inlineStr">
        <is>
          <t>qlik-parser</t>
        </is>
      </c>
    </row>
    <row r="18">
      <c r="A18" s="37" t="inlineStr">
        <is>
          <t>Executive Dashboard</t>
        </is>
      </c>
      <c r="B18" s="37" t="inlineStr">
        <is>
          <t>pcZcGjn</t>
        </is>
      </c>
      <c r="C18" s="37" t="inlineStr">
        <is>
          <t>Customer</t>
        </is>
      </c>
      <c r="D18" s="43" t="inlineStr">
        <is>
          <t>Customer</t>
        </is>
      </c>
      <c r="E18" s="37" t="inlineStr">
        <is>
          <t>Single</t>
        </is>
      </c>
      <c r="F18" s="43" t="inlineStr"/>
      <c r="G18" s="37" t="inlineStr"/>
      <c r="H18" s="39">
        <f>COUNTIFS('MasterItemUsage'!$A$7:$A$100000,A18,'MasterItemUsage'!$F$7:$F$100000,B18)</f>
        <v/>
      </c>
      <c r="I18" s="37" t="inlineStr">
        <is>
          <t>qlik-parser</t>
        </is>
      </c>
    </row>
    <row r="19">
      <c r="A19" s="32" t="inlineStr">
        <is>
          <t>Executive Dashboard</t>
        </is>
      </c>
      <c r="B19" s="32" t="inlineStr">
        <is>
          <t>RJRD</t>
        </is>
      </c>
      <c r="C19" s="32" t="inlineStr">
        <is>
          <t>ARAge</t>
        </is>
      </c>
      <c r="D19" s="42" t="inlineStr">
        <is>
          <t>ARAge</t>
        </is>
      </c>
      <c r="E19" s="32" t="inlineStr">
        <is>
          <t>Single</t>
        </is>
      </c>
      <c r="F19" s="42" t="inlineStr">
        <is>
          <t>Age of account receivable.</t>
        </is>
      </c>
      <c r="G19" s="32" t="inlineStr"/>
      <c r="H19" s="34">
        <f>COUNTIFS('MasterItemUsage'!$A$7:$A$100000,A19,'MasterItemUsage'!$F$7:$F$100000,B19)</f>
        <v/>
      </c>
      <c r="I19" s="32" t="inlineStr">
        <is>
          <t>qlik-parser</t>
        </is>
      </c>
    </row>
    <row r="20">
      <c r="A20" s="37" t="inlineStr">
        <is>
          <t>Executive Dashboard</t>
        </is>
      </c>
      <c r="B20" s="37" t="inlineStr">
        <is>
          <t>jcDdm</t>
        </is>
      </c>
      <c r="C20" s="37" t="inlineStr">
        <is>
          <t>Order Status</t>
        </is>
      </c>
      <c r="D20" s="43" t="inlineStr">
        <is>
          <t>Order Status</t>
        </is>
      </c>
      <c r="E20" s="37" t="inlineStr">
        <is>
          <t>Single</t>
        </is>
      </c>
      <c r="F20" s="43" t="inlineStr"/>
      <c r="G20" s="37" t="inlineStr"/>
      <c r="H20" s="39">
        <f>COUNTIFS('MasterItemUsage'!$A$7:$A$100000,A20,'MasterItemUsage'!$F$7:$F$100000,B20)</f>
        <v/>
      </c>
      <c r="I20" s="37" t="inlineStr">
        <is>
          <t>qlik-parser</t>
        </is>
      </c>
    </row>
    <row r="21">
      <c r="A21" s="32" t="inlineStr">
        <is>
          <t>Executive Dashboard</t>
        </is>
      </c>
      <c r="B21" s="32" t="inlineStr">
        <is>
          <t>AswNnUE</t>
        </is>
      </c>
      <c r="C21" s="32" t="inlineStr">
        <is>
          <t>Year</t>
        </is>
      </c>
      <c r="D21" s="42" t="inlineStr">
        <is>
          <t>Fiscal Year</t>
        </is>
      </c>
      <c r="E21" s="32" t="inlineStr">
        <is>
          <t>Single</t>
        </is>
      </c>
      <c r="F21" s="42" t="inlineStr"/>
      <c r="G21" s="32" t="inlineStr"/>
      <c r="H21" s="34">
        <f>COUNTIFS('MasterItemUsage'!$A$7:$A$100000,A21,'MasterItemUsage'!$F$7:$F$100000,B21)</f>
        <v/>
      </c>
      <c r="I21" s="32" t="inlineStr">
        <is>
          <t>qlik-parser</t>
        </is>
      </c>
    </row>
    <row r="22">
      <c r="A22" s="37" t="inlineStr">
        <is>
          <t>Executive Dashboard</t>
        </is>
      </c>
      <c r="B22" s="37" t="inlineStr">
        <is>
          <t>FYkzzR</t>
        </is>
      </c>
      <c r="C22" s="37" t="inlineStr">
        <is>
          <t>Customer Type</t>
        </is>
      </c>
      <c r="D22" s="43" t="inlineStr">
        <is>
          <t>Customer Type</t>
        </is>
      </c>
      <c r="E22" s="37" t="inlineStr">
        <is>
          <t>Single</t>
        </is>
      </c>
      <c r="F22" s="43" t="inlineStr"/>
      <c r="G22" s="37" t="inlineStr"/>
      <c r="H22" s="39">
        <f>COUNTIFS('MasterItemUsage'!$A$7:$A$100000,A22,'MasterItemUsage'!$F$7:$F$100000,B22)</f>
        <v/>
      </c>
      <c r="I22" s="37" t="inlineStr">
        <is>
          <t>qlik-parser</t>
        </is>
      </c>
    </row>
    <row r="23">
      <c r="A23" s="32" t="inlineStr">
        <is>
          <t>Executive Dashboard</t>
        </is>
      </c>
      <c r="B23" s="32" t="inlineStr">
        <is>
          <t>wLJmmJn</t>
        </is>
      </c>
      <c r="C23" s="32" t="inlineStr">
        <is>
          <t>Segment</t>
        </is>
      </c>
      <c r="D23" s="42" t="inlineStr">
        <is>
          <t>SegmentDesc</t>
        </is>
      </c>
      <c r="E23" s="32" t="inlineStr">
        <is>
          <t>Single</t>
        </is>
      </c>
      <c r="F23" s="42" t="inlineStr"/>
      <c r="G23" s="32" t="inlineStr"/>
      <c r="H23" s="34">
        <f>COUNTIFS('MasterItemUsage'!$A$7:$A$100000,A23,'MasterItemUsage'!$F$7:$F$100000,B23)</f>
        <v/>
      </c>
      <c r="I23" s="32" t="inlineStr">
        <is>
          <t>qlik-parser</t>
        </is>
      </c>
    </row>
    <row r="24">
      <c r="A24" s="37" t="inlineStr">
        <is>
          <t>Executive Dashboard</t>
        </is>
      </c>
      <c r="B24" s="37" t="inlineStr">
        <is>
          <t>eMukN</t>
        </is>
      </c>
      <c r="C24" s="37" t="inlineStr">
        <is>
          <t>Quarter</t>
        </is>
      </c>
      <c r="D24" s="43" t="inlineStr">
        <is>
          <t>Fiscal Quarter</t>
        </is>
      </c>
      <c r="E24" s="37" t="inlineStr">
        <is>
          <t>Single</t>
        </is>
      </c>
      <c r="F24" s="43" t="inlineStr"/>
      <c r="G24" s="37" t="inlineStr"/>
      <c r="H24" s="39">
        <f>COUNTIFS('MasterItemUsage'!$A$7:$A$100000,A24,'MasterItemUsage'!$F$7:$F$100000,B24)</f>
        <v/>
      </c>
      <c r="I24" s="37" t="inlineStr">
        <is>
          <t>qlik-parser</t>
        </is>
      </c>
    </row>
    <row r="25">
      <c r="A25" s="32" t="inlineStr">
        <is>
          <t>Executive Dashboard</t>
        </is>
      </c>
      <c r="B25" s="32" t="inlineStr">
        <is>
          <t>dyCEjG</t>
        </is>
      </c>
      <c r="C25" s="32" t="inlineStr">
        <is>
          <t>Month</t>
        </is>
      </c>
      <c r="D25" s="42" t="inlineStr">
        <is>
          <t>FiscalMonth</t>
        </is>
      </c>
      <c r="E25" s="32" t="inlineStr">
        <is>
          <t>Single</t>
        </is>
      </c>
      <c r="F25" s="42" t="inlineStr"/>
      <c r="G25" s="32" t="inlineStr"/>
      <c r="H25" s="34">
        <f>COUNTIFS('MasterItemUsage'!$A$7:$A$100000,A25,'MasterItemUsage'!$F$7:$F$100000,B25)</f>
        <v/>
      </c>
      <c r="I25" s="32" t="inlineStr">
        <is>
          <t>qlik-parser</t>
        </is>
      </c>
    </row>
    <row r="26">
      <c r="A26" s="37" t="inlineStr">
        <is>
          <t>Executive Dashboard</t>
        </is>
      </c>
      <c r="B26" s="37" t="inlineStr">
        <is>
          <t>jxuDwx</t>
        </is>
      </c>
      <c r="C26" s="37" t="inlineStr">
        <is>
          <t>Inventory Turns</t>
        </is>
      </c>
      <c r="D26" s="43" t="inlineStr">
        <is>
          <t>ClassTurns</t>
        </is>
      </c>
      <c r="E26" s="37" t="inlineStr">
        <is>
          <t>Single</t>
        </is>
      </c>
      <c r="F26" s="43" t="inlineStr">
        <is>
          <t>The number of times inventory is sold or used in a year.</t>
        </is>
      </c>
      <c r="G26" s="37" t="inlineStr"/>
      <c r="H26" s="39">
        <f>COUNTIFS('MasterItemUsage'!$A$7:$A$100000,A26,'MasterItemUsage'!$F$7:$F$100000,B26)</f>
        <v/>
      </c>
      <c r="I26" s="37" t="inlineStr">
        <is>
          <t>qvf-app</t>
        </is>
      </c>
    </row>
    <row r="27">
      <c r="A27" s="32" t="inlineStr">
        <is>
          <t>Executive Dashboard</t>
        </is>
      </c>
      <c r="B27" s="32" t="inlineStr">
        <is>
          <t>QuWSp</t>
        </is>
      </c>
      <c r="C27" s="32" t="inlineStr">
        <is>
          <t>Account Drill</t>
        </is>
      </c>
      <c r="D27" s="42" t="inlineStr">
        <is>
          <t>AccountDesc, AccountGroupDesc</t>
        </is>
      </c>
      <c r="E27" s="32" t="inlineStr">
        <is>
          <t>Drill-down</t>
        </is>
      </c>
      <c r="F27" s="42" t="inlineStr">
        <is>
          <t>Drill down from the account description to the account group description.</t>
        </is>
      </c>
      <c r="G27" s="32" t="inlineStr"/>
      <c r="H27" s="34">
        <f>COUNTIFS('MasterItemUsage'!$A$7:$A$100000,A27,'MasterItemUsage'!$F$7:$F$100000,B27)</f>
        <v/>
      </c>
      <c r="I27" s="32" t="inlineStr">
        <is>
          <t>qvf-app</t>
        </is>
      </c>
    </row>
    <row r="28">
      <c r="A28" s="37" t="inlineStr">
        <is>
          <t>Helpdesk Management</t>
        </is>
      </c>
      <c r="B28" s="37" t="inlineStr">
        <is>
          <t>wpUyjc</t>
        </is>
      </c>
      <c r="C28" s="37" t="inlineStr">
        <is>
          <t>Cases Open/Closed</t>
        </is>
      </c>
      <c r="D28" s="43" t="inlineStr">
        <is>
          <t>Cases Open/Closed</t>
        </is>
      </c>
      <c r="E28" s="37" t="inlineStr">
        <is>
          <t>Single</t>
        </is>
      </c>
      <c r="F28" s="43" t="inlineStr">
        <is>
          <t>Open and closed cases.</t>
        </is>
      </c>
      <c r="G28" s="37" t="inlineStr"/>
      <c r="H28" s="39">
        <f>COUNTIFS('MasterItemUsage'!$A$7:$A$100000,A28,'MasterItemUsage'!$F$7:$F$100000,B28)</f>
        <v/>
      </c>
      <c r="I28" s="37" t="inlineStr">
        <is>
          <t>qlik-parser</t>
        </is>
      </c>
    </row>
    <row r="29">
      <c r="A29" s="32" t="inlineStr">
        <is>
          <t>Helpdesk Management</t>
        </is>
      </c>
      <c r="B29" s="32" t="inlineStr">
        <is>
          <t>RBBKJP</t>
        </is>
      </c>
      <c r="C29" s="32" t="inlineStr">
        <is>
          <t>Department</t>
        </is>
      </c>
      <c r="D29" s="42" t="inlineStr">
        <is>
          <t>Case Owner Group</t>
        </is>
      </c>
      <c r="E29" s="32" t="inlineStr">
        <is>
          <t>Single</t>
        </is>
      </c>
      <c r="F29" s="42" t="inlineStr"/>
      <c r="G29" s="32" t="inlineStr"/>
      <c r="H29" s="34">
        <f>COUNTIFS('MasterItemUsage'!$A$7:$A$100000,A29,'MasterItemUsage'!$F$7:$F$100000,B29)</f>
        <v/>
      </c>
      <c r="I29" s="32" t="inlineStr">
        <is>
          <t>qlik-parser</t>
        </is>
      </c>
    </row>
    <row r="30">
      <c r="A30" s="37" t="inlineStr">
        <is>
          <t>Helpdesk Management</t>
        </is>
      </c>
      <c r="B30" s="37" t="inlineStr">
        <is>
          <t>hyeGht</t>
        </is>
      </c>
      <c r="C30" s="37" t="inlineStr">
        <is>
          <t>Priority</t>
        </is>
      </c>
      <c r="D30" s="43" t="inlineStr">
        <is>
          <t>Priority</t>
        </is>
      </c>
      <c r="E30" s="37" t="inlineStr">
        <is>
          <t>Single</t>
        </is>
      </c>
      <c r="F30" s="43" t="inlineStr">
        <is>
          <t>Case priority.</t>
        </is>
      </c>
      <c r="G30" s="37" t="inlineStr"/>
      <c r="H30" s="39">
        <f>COUNTIFS('MasterItemUsage'!$A$7:$A$100000,A30,'MasterItemUsage'!$F$7:$F$100000,B30)</f>
        <v/>
      </c>
      <c r="I30" s="37" t="inlineStr">
        <is>
          <t>qlik-parser</t>
        </is>
      </c>
    </row>
    <row r="31">
      <c r="A31" s="32" t="inlineStr">
        <is>
          <t>Helpdesk Management</t>
        </is>
      </c>
      <c r="B31" s="32" t="inlineStr">
        <is>
          <t>Bbdkpp</t>
        </is>
      </c>
      <c r="C31" s="32" t="inlineStr">
        <is>
          <t>Request Type</t>
        </is>
      </c>
      <c r="D31" s="42" t="inlineStr">
        <is>
          <t>Case Record Type</t>
        </is>
      </c>
      <c r="E31" s="32" t="inlineStr">
        <is>
          <t>Single</t>
        </is>
      </c>
      <c r="F31" s="42" t="inlineStr">
        <is>
          <t>Type of helpdesk request.</t>
        </is>
      </c>
      <c r="G31" s="32" t="inlineStr"/>
      <c r="H31" s="34">
        <f>COUNTIFS('MasterItemUsage'!$A$7:$A$100000,A31,'MasterItemUsage'!$F$7:$F$100000,B31)</f>
        <v/>
      </c>
      <c r="I31" s="32" t="inlineStr">
        <is>
          <t>qlik-parser</t>
        </is>
      </c>
    </row>
    <row r="32">
      <c r="A32" s="37" t="inlineStr">
        <is>
          <t>Helpdesk Management</t>
        </is>
      </c>
      <c r="B32" s="37" t="inlineStr">
        <is>
          <t>krpjsE</t>
        </is>
      </c>
      <c r="C32" s="37" t="inlineStr">
        <is>
          <t>%OwnerId</t>
        </is>
      </c>
      <c r="D32" s="43" t="inlineStr">
        <is>
          <t>%OwnerId</t>
        </is>
      </c>
      <c r="E32" s="37" t="inlineStr">
        <is>
          <t>Single</t>
        </is>
      </c>
      <c r="F32" s="43" t="inlineStr">
        <is>
          <t>The Owner ID.</t>
        </is>
      </c>
      <c r="G32" s="37" t="inlineStr"/>
      <c r="H32" s="39">
        <f>COUNTIFS('MasterItemUsage'!$A$7:$A$100000,A32,'MasterItemUsage'!$F$7:$F$100000,B32)</f>
        <v/>
      </c>
      <c r="I32" s="37" t="inlineStr">
        <is>
          <t>qlik-parser</t>
        </is>
      </c>
    </row>
    <row r="33">
      <c r="A33" s="32" t="inlineStr">
        <is>
          <t>Helpdesk Management</t>
        </is>
      </c>
      <c r="B33" s="32" t="inlineStr">
        <is>
          <t>rfQk</t>
        </is>
      </c>
      <c r="C33" s="32" t="inlineStr">
        <is>
          <t>IT Resources</t>
        </is>
      </c>
      <c r="D33" s="42" t="inlineStr">
        <is>
          <t>Case Owner</t>
        </is>
      </c>
      <c r="E33" s="32" t="inlineStr">
        <is>
          <t>Single</t>
        </is>
      </c>
      <c r="F33" s="42" t="inlineStr">
        <is>
          <t>IT resource.</t>
        </is>
      </c>
      <c r="G33" s="32" t="inlineStr"/>
      <c r="H33" s="34">
        <f>COUNTIFS('MasterItemUsage'!$A$7:$A$100000,A33,'MasterItemUsage'!$F$7:$F$100000,B33)</f>
        <v/>
      </c>
      <c r="I33" s="32" t="inlineStr">
        <is>
          <t>qlik-parser</t>
        </is>
      </c>
    </row>
    <row r="34">
      <c r="A34" s="37" t="inlineStr">
        <is>
          <t>Helpdesk Management</t>
        </is>
      </c>
      <c r="B34" s="37" t="inlineStr">
        <is>
          <t>sEavA</t>
        </is>
      </c>
      <c r="C34" s="37" t="inlineStr">
        <is>
          <t>%CaseId</t>
        </is>
      </c>
      <c r="D34" s="43" t="inlineStr">
        <is>
          <t>%CaseId</t>
        </is>
      </c>
      <c r="E34" s="37" t="inlineStr">
        <is>
          <t>Single</t>
        </is>
      </c>
      <c r="F34" s="43" t="inlineStr">
        <is>
          <t>The Case ID.</t>
        </is>
      </c>
      <c r="G34" s="37" t="inlineStr"/>
      <c r="H34" s="39">
        <f>COUNTIFS('MasterItemUsage'!$A$7:$A$100000,A34,'MasterItemUsage'!$F$7:$F$100000,B34)</f>
        <v/>
      </c>
      <c r="I34" s="37" t="inlineStr">
        <is>
          <t>qlik-parser</t>
        </is>
      </c>
    </row>
    <row r="35">
      <c r="A35" s="32" t="inlineStr">
        <is>
          <t>Helpdesk Management</t>
        </is>
      </c>
      <c r="B35" s="32" t="inlineStr">
        <is>
          <t>jySjA</t>
        </is>
      </c>
      <c r="C35" s="32" t="inlineStr">
        <is>
          <t>Year</t>
        </is>
      </c>
      <c r="D35" s="42" t="inlineStr">
        <is>
          <t>Year</t>
        </is>
      </c>
      <c r="E35" s="32" t="inlineStr">
        <is>
          <t>Single</t>
        </is>
      </c>
      <c r="F35" s="42" t="inlineStr"/>
      <c r="G35" s="32" t="inlineStr"/>
      <c r="H35" s="34">
        <f>COUNTIFS('MasterItemUsage'!$A$7:$A$100000,A35,'MasterItemUsage'!$F$7:$F$100000,B35)</f>
        <v/>
      </c>
      <c r="I35" s="32" t="inlineStr">
        <is>
          <t>qlik-parser</t>
        </is>
      </c>
    </row>
  </sheetData>
  <autoFilter ref="A6:I35"/>
  <mergeCells count="1">
    <mergeCell ref="C2:E3"/>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2C4650"/>
    <outlinePr summaryBelow="1" summaryRight="1"/>
    <pageSetUpPr fitToPage="1"/>
  </sheetPr>
  <dimension ref="A2:H17"/>
  <sheetViews>
    <sheetView showGridLines="0" workbookViewId="0">
      <pane ySplit="6" topLeftCell="A7" activePane="bottomLeft" state="frozen"/>
      <selection pane="bottomLeft" activeCell="A1" sqref="A1"/>
    </sheetView>
  </sheetViews>
  <sheetFormatPr baseColWidth="8" defaultRowHeight="15"/>
  <cols>
    <col width="26" customWidth="1" min="1" max="1"/>
    <col width="14" customWidth="1" min="2" max="2"/>
    <col width="32" customWidth="1" min="3" max="3"/>
    <col width="14" customWidth="1" min="4" max="4"/>
    <col width="40" customWidth="1" min="5" max="5"/>
    <col width="40" customWidth="1" min="6" max="6"/>
    <col width="44" customWidth="1" min="7" max="7"/>
    <col width="13" customWidth="1" min="8" max="8"/>
  </cols>
  <sheetData>
    <row r="1" ht="24" customHeight="1"/>
    <row r="2" ht="24" customHeight="1">
      <c r="C2" s="1" t="inlineStr">
        <is>
          <t>Master visualizations  ·  reusable charts</t>
        </is>
      </c>
    </row>
    <row r="3" ht="20" customHeight="1"/>
    <row r="4" ht="10" customHeight="1"/>
    <row r="5" ht="18" customHeight="1">
      <c r="A5" s="29">
        <f>HYPERLINK("#'Discovery'!A1","«  Back to Discovery")</f>
        <v/>
      </c>
      <c r="B5" s="30" t="inlineStr">
        <is>
          <t>Reusable library charts with their dimensions, measures and usage.</t>
        </is>
      </c>
    </row>
    <row r="6" ht="30" customHeight="1">
      <c r="A6" s="31" t="inlineStr">
        <is>
          <t>App</t>
        </is>
      </c>
      <c r="B6" s="31" t="inlineStr">
        <is>
          <t>ID</t>
        </is>
      </c>
      <c r="C6" s="31" t="inlineStr">
        <is>
          <t>Title</t>
        </is>
      </c>
      <c r="D6" s="31" t="inlineStr">
        <is>
          <t>Chart type</t>
        </is>
      </c>
      <c r="E6" s="31" t="inlineStr">
        <is>
          <t>Description</t>
        </is>
      </c>
      <c r="F6" s="31" t="inlineStr">
        <is>
          <t>Dimensions</t>
        </is>
      </c>
      <c r="G6" s="31" t="inlineStr">
        <is>
          <t>Measures</t>
        </is>
      </c>
      <c r="H6" s="31" t="inlineStr">
        <is>
          <t>Used on sheets</t>
        </is>
      </c>
    </row>
    <row r="7">
      <c r="A7" s="32" t="inlineStr">
        <is>
          <t>Executive Dashboard</t>
        </is>
      </c>
      <c r="B7" s="32" t="inlineStr">
        <is>
          <t>tmaqpf</t>
        </is>
      </c>
      <c r="C7" s="32" t="inlineStr">
        <is>
          <t>Revenue by Product</t>
        </is>
      </c>
      <c r="D7" s="32" t="inlineStr">
        <is>
          <t>treemap</t>
        </is>
      </c>
      <c r="E7" s="42" t="inlineStr">
        <is>
          <t>View revenue by product.</t>
        </is>
      </c>
      <c r="F7" s="42" t="inlineStr">
        <is>
          <t>Product</t>
        </is>
      </c>
      <c r="G7" s="42" t="inlineStr">
        <is>
          <t>Revenue</t>
        </is>
      </c>
      <c r="H7" s="34">
        <f>COUNTIFS('MasterItemUsage'!$A$7:$A$100000,A7,'MasterItemUsage'!$F$7:$F$100000,B7)</f>
        <v/>
      </c>
    </row>
    <row r="8">
      <c r="A8" s="37" t="inlineStr">
        <is>
          <t>Executive Dashboard</t>
        </is>
      </c>
      <c r="B8" s="37" t="inlineStr">
        <is>
          <t>JZMrdb</t>
        </is>
      </c>
      <c r="C8" s="37" t="inlineStr">
        <is>
          <t xml:space="preserve"> Product Inventory Turns, Amount and Margin%</t>
        </is>
      </c>
      <c r="D8" s="37" t="inlineStr">
        <is>
          <t>table</t>
        </is>
      </c>
      <c r="E8" s="43" t="inlineStr">
        <is>
          <t>Products in inventory and their dollar value, margin and number of inventory turns.</t>
        </is>
      </c>
      <c r="F8" s="43" t="inlineStr">
        <is>
          <t>Product; Inventory Turns</t>
        </is>
      </c>
      <c r="G8" s="43" t="inlineStr">
        <is>
          <t>Inventory Amount; Margin %</t>
        </is>
      </c>
      <c r="H8" s="39">
        <f>COUNTIFS('MasterItemUsage'!$A$7:$A$100000,A8,'MasterItemUsage'!$F$7:$F$100000,B8)</f>
        <v/>
      </c>
    </row>
    <row r="9">
      <c r="A9" s="32" t="inlineStr">
        <is>
          <t>Executive Dashboard</t>
        </is>
      </c>
      <c r="B9" s="32" t="inlineStr">
        <is>
          <t>BHTXyNM</t>
        </is>
      </c>
      <c r="C9" s="32" t="inlineStr">
        <is>
          <t>Expenses as % Sales</t>
        </is>
      </c>
      <c r="D9" s="32" t="inlineStr">
        <is>
          <t>piechart</t>
        </is>
      </c>
      <c r="E9" s="42" t="inlineStr">
        <is>
          <t>The expenses as a percentage of the sales.</t>
        </is>
      </c>
      <c r="F9" s="42" t="inlineStr">
        <is>
          <t>Account</t>
        </is>
      </c>
      <c r="G9" s="42" t="inlineStr">
        <is>
          <t>Expenses % of Sales</t>
        </is>
      </c>
      <c r="H9" s="34">
        <f>COUNTIFS('MasterItemUsage'!$A$7:$A$100000,A9,'MasterItemUsage'!$F$7:$F$100000,B9)</f>
        <v/>
      </c>
    </row>
    <row r="10">
      <c r="A10" s="37" t="inlineStr">
        <is>
          <t>Executive Dashboard</t>
        </is>
      </c>
      <c r="B10" s="37" t="inlineStr">
        <is>
          <t>pDKRhr</t>
        </is>
      </c>
      <c r="C10" s="37" t="inlineStr">
        <is>
          <t>Customer Revenue vs. Expense</t>
        </is>
      </c>
      <c r="D10" s="37" t="inlineStr">
        <is>
          <t>scatterplot</t>
        </is>
      </c>
      <c r="E10" s="43" t="inlineStr">
        <is>
          <t>Correlation between customer revenue and expense amount.</t>
        </is>
      </c>
      <c r="F10" s="43" t="inlineStr">
        <is>
          <t>Customer</t>
        </is>
      </c>
      <c r="G10" s="43" t="inlineStr">
        <is>
          <t>Expense Amount; Revenue</t>
        </is>
      </c>
      <c r="H10" s="39">
        <f>COUNTIFS('MasterItemUsage'!$A$7:$A$100000,A10,'MasterItemUsage'!$F$7:$F$100000,B10)</f>
        <v/>
      </c>
    </row>
    <row r="11">
      <c r="A11" s="32" t="inlineStr">
        <is>
          <t>Executive Dashboard</t>
        </is>
      </c>
      <c r="B11" s="32" t="inlineStr">
        <is>
          <t>FDJPm</t>
        </is>
      </c>
      <c r="C11" s="32" t="inlineStr">
        <is>
          <t>Cost Center Report (000s)</t>
        </is>
      </c>
      <c r="D11" s="32" t="inlineStr">
        <is>
          <t>table</t>
        </is>
      </c>
      <c r="E11" s="42" t="inlineStr">
        <is>
          <t>Expense details such as Account Group, account, Expenses and Budget.</t>
        </is>
      </c>
      <c r="F11" s="42" t="inlineStr">
        <is>
          <t>Account Group; Account</t>
        </is>
      </c>
      <c r="G11" s="42" t="inlineStr">
        <is>
          <t>Expense 2012; Budget; Expenses 2013</t>
        </is>
      </c>
      <c r="H11" s="34">
        <f>COUNTIFS('MasterItemUsage'!$A$7:$A$100000,A11,'MasterItemUsage'!$F$7:$F$100000,B11)</f>
        <v/>
      </c>
    </row>
    <row r="12">
      <c r="A12" s="37" t="inlineStr">
        <is>
          <t>Executive Dashboard</t>
        </is>
      </c>
      <c r="B12" s="37" t="inlineStr">
        <is>
          <t>nRxXG</t>
        </is>
      </c>
      <c r="C12" s="37" t="inlineStr">
        <is>
          <t>Onhand Inventory $ (sorted by Sales Qty)</t>
        </is>
      </c>
      <c r="D12" s="37" t="inlineStr">
        <is>
          <t>barchart</t>
        </is>
      </c>
      <c r="E12" s="43" t="inlineStr">
        <is>
          <t>Inventory that is available to be sold.</t>
        </is>
      </c>
      <c r="F12" s="43" t="inlineStr">
        <is>
          <t>Product</t>
        </is>
      </c>
      <c r="G12" s="43" t="inlineStr">
        <is>
          <t>Inventory Amount</t>
        </is>
      </c>
      <c r="H12" s="39">
        <f>COUNTIFS('MasterItemUsage'!$A$7:$A$100000,A12,'MasterItemUsage'!$F$7:$F$100000,B12)</f>
        <v/>
      </c>
    </row>
    <row r="13">
      <c r="A13" s="32" t="inlineStr">
        <is>
          <t>Tutorial creazione nuova app</t>
        </is>
      </c>
      <c r="B13" s="32" t="inlineStr">
        <is>
          <t>rmBWDa</t>
        </is>
      </c>
      <c r="C13" s="32" t="inlineStr">
        <is>
          <t>Period</t>
        </is>
      </c>
      <c r="D13" s="32" t="inlineStr">
        <is>
          <t>filterpane</t>
        </is>
      </c>
      <c r="E13" s="42" t="inlineStr"/>
      <c r="F13" s="42" t="inlineStr"/>
      <c r="G13" s="42" t="inlineStr"/>
      <c r="H13" s="34">
        <f>COUNTIFS('MasterItemUsage'!$A$7:$A$100000,A13,'MasterItemUsage'!$F$7:$F$100000,B13)</f>
        <v/>
      </c>
    </row>
    <row r="14">
      <c r="A14" s="37" t="inlineStr">
        <is>
          <t>Tutorial creazione nuova app</t>
        </is>
      </c>
      <c r="B14" s="37" t="inlineStr">
        <is>
          <t>ZvUFrB</t>
        </is>
      </c>
      <c r="C14" s="37" t="inlineStr">
        <is>
          <t>Region</t>
        </is>
      </c>
      <c r="D14" s="37" t="inlineStr">
        <is>
          <t>filterpane</t>
        </is>
      </c>
      <c r="E14" s="43" t="inlineStr"/>
      <c r="F14" s="43" t="inlineStr"/>
      <c r="G14" s="43" t="inlineStr"/>
      <c r="H14" s="39">
        <f>COUNTIFS('MasterItemUsage'!$A$7:$A$100000,A14,'MasterItemUsage'!$F$7:$F$100000,B14)</f>
        <v/>
      </c>
    </row>
    <row r="15">
      <c r="A15" s="32" t="inlineStr">
        <is>
          <t>Tutorial creazione nuova app</t>
        </is>
      </c>
      <c r="B15" s="32" t="inlineStr">
        <is>
          <t>ZJhRsc</t>
        </is>
      </c>
      <c r="C15" s="32" t="inlineStr">
        <is>
          <t>Manager</t>
        </is>
      </c>
      <c r="D15" s="32" t="inlineStr">
        <is>
          <t>filterpane</t>
        </is>
      </c>
      <c r="E15" s="42" t="inlineStr"/>
      <c r="F15" s="42" t="inlineStr"/>
      <c r="G15" s="42" t="inlineStr"/>
      <c r="H15" s="34">
        <f>COUNTIFS('MasterItemUsage'!$A$7:$A$100000,A15,'MasterItemUsage'!$F$7:$F$100000,B15)</f>
        <v/>
      </c>
    </row>
    <row r="16">
      <c r="A16" s="37" t="inlineStr">
        <is>
          <t>Tutorial creazione nuova app</t>
        </is>
      </c>
      <c r="B16" s="37" t="inlineStr">
        <is>
          <t>GbHREb</t>
        </is>
      </c>
      <c r="C16" s="37" t="inlineStr">
        <is>
          <t>City</t>
        </is>
      </c>
      <c r="D16" s="37" t="inlineStr">
        <is>
          <t>filterpane</t>
        </is>
      </c>
      <c r="E16" s="43" t="inlineStr"/>
      <c r="F16" s="43" t="inlineStr"/>
      <c r="G16" s="43" t="inlineStr"/>
      <c r="H16" s="39">
        <f>COUNTIFS('MasterItemUsage'!$A$7:$A$100000,A16,'MasterItemUsage'!$F$7:$F$100000,B16)</f>
        <v/>
      </c>
    </row>
    <row r="17">
      <c r="A17" s="32" t="inlineStr">
        <is>
          <t>Tutorial creazione nuova app</t>
        </is>
      </c>
      <c r="B17" s="32" t="inlineStr">
        <is>
          <t>LsAsQkp</t>
        </is>
      </c>
      <c r="C17" s="32" t="inlineStr">
        <is>
          <t>Customer</t>
        </is>
      </c>
      <c r="D17" s="32" t="inlineStr">
        <is>
          <t>filterpane</t>
        </is>
      </c>
      <c r="E17" s="42" t="inlineStr"/>
      <c r="F17" s="42" t="inlineStr"/>
      <c r="G17" s="42" t="inlineStr"/>
      <c r="H17" s="34">
        <f>COUNTIFS('MasterItemUsage'!$A$7:$A$100000,A17,'MasterItemUsage'!$F$7:$F$100000,B17)</f>
        <v/>
      </c>
    </row>
  </sheetData>
  <autoFilter ref="A6:H17"/>
  <mergeCells count="1">
    <mergeCell ref="C2:F3"/>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2C4650"/>
    <outlinePr summaryBelow="1" summaryRight="1"/>
    <pageSetUpPr fitToPage="1"/>
  </sheetPr>
  <dimension ref="A2:G111"/>
  <sheetViews>
    <sheetView showGridLines="0" workbookViewId="0">
      <pane ySplit="6" topLeftCell="A7" activePane="bottomLeft" state="frozen"/>
      <selection pane="bottomLeft" activeCell="A1" sqref="A1"/>
    </sheetView>
  </sheetViews>
  <sheetFormatPr baseColWidth="8" defaultRowHeight="15"/>
  <cols>
    <col width="26" customWidth="1" min="1" max="1"/>
    <col width="16" customWidth="1" min="2" max="2"/>
    <col width="16" customWidth="1" min="3" max="3"/>
    <col width="28" customWidth="1" min="4" max="4"/>
    <col width="20" customWidth="1" min="5" max="5"/>
    <col width="16" customWidth="1" min="6" max="6"/>
    <col width="36" customWidth="1" min="7" max="7"/>
  </cols>
  <sheetData>
    <row r="1" ht="24" customHeight="1"/>
    <row r="2" ht="24" customHeight="1">
      <c r="C2" s="1" t="inlineStr">
        <is>
          <t>Master item usage  ·  which visualization uses which master item</t>
        </is>
      </c>
    </row>
    <row r="3" ht="20" customHeight="1"/>
    <row r="4" ht="10" customHeight="1"/>
    <row r="5" ht="18" customHeight="1">
      <c r="A5" s="29">
        <f>HYPERLINK("#'Discovery'!A1","«  Back to Discovery")</f>
        <v/>
      </c>
      <c r="B5" s="30" t="inlineStr">
        <is>
          <t>One row per link from a visualization to a master item; feeds the usage counts.</t>
        </is>
      </c>
    </row>
    <row r="6" ht="30" customHeight="1">
      <c r="A6" s="31" t="inlineStr">
        <is>
          <t>App</t>
        </is>
      </c>
      <c r="B6" s="31" t="inlineStr">
        <is>
          <t>Visualization ID</t>
        </is>
      </c>
      <c r="C6" s="31" t="inlineStr">
        <is>
          <t>Visualization type</t>
        </is>
      </c>
      <c r="D6" s="31" t="inlineStr">
        <is>
          <t>Sheet</t>
        </is>
      </c>
      <c r="E6" s="31" t="inlineStr">
        <is>
          <t>Master item kind</t>
        </is>
      </c>
      <c r="F6" s="31" t="inlineStr">
        <is>
          <t>Master item ID</t>
        </is>
      </c>
      <c r="G6" s="31" t="inlineStr">
        <is>
          <t>Master item</t>
        </is>
      </c>
    </row>
    <row r="7">
      <c r="A7" s="32" t="inlineStr">
        <is>
          <t>Executive Dashboard</t>
        </is>
      </c>
      <c r="B7" s="32" t="inlineStr">
        <is>
          <t>KxdNL</t>
        </is>
      </c>
      <c r="C7" s="32" t="inlineStr">
        <is>
          <t>gauge</t>
        </is>
      </c>
      <c r="D7" s="32" t="inlineStr">
        <is>
          <t>KPI Dashboard</t>
        </is>
      </c>
      <c r="E7" s="32" t="inlineStr">
        <is>
          <t>Master measure</t>
        </is>
      </c>
      <c r="F7" s="32" t="inlineStr">
        <is>
          <t>mwwzJ</t>
        </is>
      </c>
      <c r="G7" s="32" t="inlineStr">
        <is>
          <t>Expenses vs. Target</t>
        </is>
      </c>
    </row>
    <row r="8">
      <c r="A8" s="37" t="inlineStr">
        <is>
          <t>Executive Dashboard</t>
        </is>
      </c>
      <c r="B8" s="37" t="inlineStr">
        <is>
          <t>tcxTY</t>
        </is>
      </c>
      <c r="C8" s="37" t="inlineStr">
        <is>
          <t>gauge</t>
        </is>
      </c>
      <c r="D8" s="37" t="inlineStr">
        <is>
          <t>KPI Dashboard</t>
        </is>
      </c>
      <c r="E8" s="37" t="inlineStr">
        <is>
          <t>Master measure</t>
        </is>
      </c>
      <c r="F8" s="37" t="inlineStr">
        <is>
          <t>STSDYR</t>
        </is>
      </c>
      <c r="G8" s="37" t="inlineStr">
        <is>
          <t>Revenue vs. LY Revenue</t>
        </is>
      </c>
    </row>
    <row r="9">
      <c r="A9" s="32" t="inlineStr">
        <is>
          <t>Executive Dashboard</t>
        </is>
      </c>
      <c r="B9" s="32" t="inlineStr">
        <is>
          <t>MdpsUpA</t>
        </is>
      </c>
      <c r="C9" s="32" t="inlineStr">
        <is>
          <t>gauge</t>
        </is>
      </c>
      <c r="D9" s="32" t="inlineStr">
        <is>
          <t>KPI Dashboard</t>
        </is>
      </c>
      <c r="E9" s="32" t="inlineStr">
        <is>
          <t>Master measure</t>
        </is>
      </c>
      <c r="F9" s="32" t="inlineStr">
        <is>
          <t>FDPQYx</t>
        </is>
      </c>
      <c r="G9" s="32" t="inlineStr">
        <is>
          <t>AR % Overdue</t>
        </is>
      </c>
    </row>
    <row r="10">
      <c r="A10" s="37" t="inlineStr">
        <is>
          <t>Executive Dashboard</t>
        </is>
      </c>
      <c r="B10" s="37" t="inlineStr">
        <is>
          <t>NaKQwM</t>
        </is>
      </c>
      <c r="C10" s="37" t="inlineStr">
        <is>
          <t>piechart</t>
        </is>
      </c>
      <c r="D10" s="37" t="inlineStr">
        <is>
          <t>KPI Dashboard</t>
        </is>
      </c>
      <c r="E10" s="37" t="inlineStr">
        <is>
          <t>Master dimension</t>
        </is>
      </c>
      <c r="F10" s="37" t="inlineStr">
        <is>
          <t>aLVsP</t>
        </is>
      </c>
      <c r="G10" s="37" t="inlineStr">
        <is>
          <t>Account</t>
        </is>
      </c>
    </row>
    <row r="11">
      <c r="A11" s="32" t="inlineStr">
        <is>
          <t>Executive Dashboard</t>
        </is>
      </c>
      <c r="B11" s="32" t="inlineStr">
        <is>
          <t>NaKQwM</t>
        </is>
      </c>
      <c r="C11" s="32" t="inlineStr">
        <is>
          <t>piechart</t>
        </is>
      </c>
      <c r="D11" s="32" t="inlineStr">
        <is>
          <t>KPI Dashboard</t>
        </is>
      </c>
      <c r="E11" s="32" t="inlineStr">
        <is>
          <t>Master measure</t>
        </is>
      </c>
      <c r="F11" s="32" t="inlineStr">
        <is>
          <t>napvtJ</t>
        </is>
      </c>
      <c r="G11" s="32" t="inlineStr">
        <is>
          <t>Expense Amount</t>
        </is>
      </c>
    </row>
    <row r="12">
      <c r="A12" s="37" t="inlineStr">
        <is>
          <t>Executive Dashboard</t>
        </is>
      </c>
      <c r="B12" s="37" t="inlineStr">
        <is>
          <t>ZxDKp</t>
        </is>
      </c>
      <c r="C12" s="37" t="inlineStr">
        <is>
          <t>piechart</t>
        </is>
      </c>
      <c r="D12" s="37" t="inlineStr">
        <is>
          <t>KPI Dashboard</t>
        </is>
      </c>
      <c r="E12" s="37" t="inlineStr">
        <is>
          <t>Master dimension</t>
        </is>
      </c>
      <c r="F12" s="37" t="inlineStr">
        <is>
          <t>DcuPcq</t>
        </is>
      </c>
      <c r="G12" s="37" t="inlineStr">
        <is>
          <t>Product Sub Group Desc</t>
        </is>
      </c>
    </row>
    <row r="13">
      <c r="A13" s="32" t="inlineStr">
        <is>
          <t>Executive Dashboard</t>
        </is>
      </c>
      <c r="B13" s="32" t="inlineStr">
        <is>
          <t>ZxDKp</t>
        </is>
      </c>
      <c r="C13" s="32" t="inlineStr">
        <is>
          <t>piechart</t>
        </is>
      </c>
      <c r="D13" s="32" t="inlineStr">
        <is>
          <t>KPI Dashboard</t>
        </is>
      </c>
      <c r="E13" s="32" t="inlineStr">
        <is>
          <t>Master measure</t>
        </is>
      </c>
      <c r="F13" s="32" t="inlineStr">
        <is>
          <t>NPPsJt</t>
        </is>
      </c>
      <c r="G13" s="32" t="inlineStr">
        <is>
          <t>Revenue</t>
        </is>
      </c>
    </row>
    <row r="14">
      <c r="A14" s="37" t="inlineStr">
        <is>
          <t>Executive Dashboard</t>
        </is>
      </c>
      <c r="B14" s="37" t="inlineStr">
        <is>
          <t>ARNmpdM</t>
        </is>
      </c>
      <c r="C14" s="37" t="inlineStr">
        <is>
          <t>piechart</t>
        </is>
      </c>
      <c r="D14" s="37" t="inlineStr">
        <is>
          <t>KPI Dashboard</t>
        </is>
      </c>
      <c r="E14" s="37" t="inlineStr">
        <is>
          <t>Master dimension</t>
        </is>
      </c>
      <c r="F14" s="37" t="inlineStr">
        <is>
          <t>pcZcGjn</t>
        </is>
      </c>
      <c r="G14" s="37" t="inlineStr">
        <is>
          <t>Customer</t>
        </is>
      </c>
    </row>
    <row r="15">
      <c r="A15" s="32" t="inlineStr">
        <is>
          <t>Executive Dashboard</t>
        </is>
      </c>
      <c r="B15" s="32" t="inlineStr">
        <is>
          <t>ARNmpdM</t>
        </is>
      </c>
      <c r="C15" s="32" t="inlineStr">
        <is>
          <t>piechart</t>
        </is>
      </c>
      <c r="D15" s="32" t="inlineStr">
        <is>
          <t>KPI Dashboard</t>
        </is>
      </c>
      <c r="E15" s="32" t="inlineStr">
        <is>
          <t>Master measure</t>
        </is>
      </c>
      <c r="F15" s="32" t="inlineStr">
        <is>
          <t>vLRMZz</t>
        </is>
      </c>
      <c r="G15" s="32" t="inlineStr">
        <is>
          <t>Amount Overdue</t>
        </is>
      </c>
    </row>
    <row r="16">
      <c r="A16" s="37" t="inlineStr">
        <is>
          <t>Executive Dashboard</t>
        </is>
      </c>
      <c r="B16" s="37" t="inlineStr">
        <is>
          <t>JEBdZz</t>
        </is>
      </c>
      <c r="C16" s="37" t="inlineStr">
        <is>
          <t>linechart</t>
        </is>
      </c>
      <c r="D16" s="37" t="inlineStr">
        <is>
          <t>KPI Dashboard</t>
        </is>
      </c>
      <c r="E16" s="37" t="inlineStr">
        <is>
          <t>Master dimension</t>
        </is>
      </c>
      <c r="F16" s="37" t="inlineStr">
        <is>
          <t>dyCEjG</t>
        </is>
      </c>
      <c r="G16" s="37" t="inlineStr">
        <is>
          <t>Month</t>
        </is>
      </c>
    </row>
    <row r="17">
      <c r="A17" s="32" t="inlineStr">
        <is>
          <t>Executive Dashboard</t>
        </is>
      </c>
      <c r="B17" s="32" t="inlineStr">
        <is>
          <t>JEBdZz</t>
        </is>
      </c>
      <c r="C17" s="32" t="inlineStr">
        <is>
          <t>linechart</t>
        </is>
      </c>
      <c r="D17" s="32" t="inlineStr">
        <is>
          <t>KPI Dashboard</t>
        </is>
      </c>
      <c r="E17" s="32" t="inlineStr">
        <is>
          <t>Master measure</t>
        </is>
      </c>
      <c r="F17" s="32" t="inlineStr">
        <is>
          <t>napvtJ</t>
        </is>
      </c>
      <c r="G17" s="32" t="inlineStr">
        <is>
          <t>Expense Amount</t>
        </is>
      </c>
    </row>
    <row r="18">
      <c r="A18" s="37" t="inlineStr">
        <is>
          <t>Executive Dashboard</t>
        </is>
      </c>
      <c r="B18" s="37" t="inlineStr">
        <is>
          <t>GJxgd</t>
        </is>
      </c>
      <c r="C18" s="37" t="inlineStr">
        <is>
          <t>linechart</t>
        </is>
      </c>
      <c r="D18" s="37" t="inlineStr">
        <is>
          <t>KPI Dashboard</t>
        </is>
      </c>
      <c r="E18" s="37" t="inlineStr">
        <is>
          <t>Master dimension</t>
        </is>
      </c>
      <c r="F18" s="37" t="inlineStr">
        <is>
          <t>dyCEjG</t>
        </is>
      </c>
      <c r="G18" s="37" t="inlineStr">
        <is>
          <t>Month</t>
        </is>
      </c>
    </row>
    <row r="19">
      <c r="A19" s="32" t="inlineStr">
        <is>
          <t>Executive Dashboard</t>
        </is>
      </c>
      <c r="B19" s="32" t="inlineStr">
        <is>
          <t>GJxgd</t>
        </is>
      </c>
      <c r="C19" s="32" t="inlineStr">
        <is>
          <t>linechart</t>
        </is>
      </c>
      <c r="D19" s="32" t="inlineStr">
        <is>
          <t>KPI Dashboard</t>
        </is>
      </c>
      <c r="E19" s="32" t="inlineStr">
        <is>
          <t>Master measure</t>
        </is>
      </c>
      <c r="F19" s="32" t="inlineStr">
        <is>
          <t>NPPsJt</t>
        </is>
      </c>
      <c r="G19" s="32" t="inlineStr">
        <is>
          <t>Revenue</t>
        </is>
      </c>
    </row>
    <row r="20">
      <c r="A20" s="37" t="inlineStr">
        <is>
          <t>Executive Dashboard</t>
        </is>
      </c>
      <c r="B20" s="37" t="inlineStr">
        <is>
          <t>QYthJs</t>
        </is>
      </c>
      <c r="C20" s="37" t="inlineStr">
        <is>
          <t>linechart</t>
        </is>
      </c>
      <c r="D20" s="37" t="inlineStr">
        <is>
          <t>KPI Dashboard</t>
        </is>
      </c>
      <c r="E20" s="37" t="inlineStr">
        <is>
          <t>Master dimension</t>
        </is>
      </c>
      <c r="F20" s="37" t="inlineStr">
        <is>
          <t>dyCEjG</t>
        </is>
      </c>
      <c r="G20" s="37" t="inlineStr">
        <is>
          <t>Month</t>
        </is>
      </c>
    </row>
    <row r="21">
      <c r="A21" s="32" t="inlineStr">
        <is>
          <t>Executive Dashboard</t>
        </is>
      </c>
      <c r="B21" s="32" t="inlineStr">
        <is>
          <t>QYthJs</t>
        </is>
      </c>
      <c r="C21" s="32" t="inlineStr">
        <is>
          <t>linechart</t>
        </is>
      </c>
      <c r="D21" s="32" t="inlineStr">
        <is>
          <t>KPI Dashboard</t>
        </is>
      </c>
      <c r="E21" s="32" t="inlineStr">
        <is>
          <t>Master measure</t>
        </is>
      </c>
      <c r="F21" s="32" t="inlineStr">
        <is>
          <t>pVTm</t>
        </is>
      </c>
      <c r="G21" s="32" t="inlineStr">
        <is>
          <t>AR Average Balance</t>
        </is>
      </c>
    </row>
    <row r="22">
      <c r="A22" s="37" t="inlineStr">
        <is>
          <t>Executive Dashboard</t>
        </is>
      </c>
      <c r="B22" s="37" t="inlineStr">
        <is>
          <t>YPPUPE</t>
        </is>
      </c>
      <c r="C22" s="37" t="inlineStr">
        <is>
          <t>treemap</t>
        </is>
      </c>
      <c r="D22" s="37" t="inlineStr">
        <is>
          <t>Account Receivable Analysis</t>
        </is>
      </c>
      <c r="E22" s="37" t="inlineStr">
        <is>
          <t>Master dimension</t>
        </is>
      </c>
      <c r="F22" s="37" t="inlineStr">
        <is>
          <t>wLJmmJn</t>
        </is>
      </c>
      <c r="G22" s="37" t="inlineStr">
        <is>
          <t>Segment</t>
        </is>
      </c>
    </row>
    <row r="23">
      <c r="A23" s="32" t="inlineStr">
        <is>
          <t>Executive Dashboard</t>
        </is>
      </c>
      <c r="B23" s="32" t="inlineStr">
        <is>
          <t>YPPUPE</t>
        </is>
      </c>
      <c r="C23" s="32" t="inlineStr">
        <is>
          <t>treemap</t>
        </is>
      </c>
      <c r="D23" s="32" t="inlineStr">
        <is>
          <t>Account Receivable Analysis</t>
        </is>
      </c>
      <c r="E23" s="32" t="inlineStr">
        <is>
          <t>Master dimension</t>
        </is>
      </c>
      <c r="F23" s="32" t="inlineStr">
        <is>
          <t>XFhtUb</t>
        </is>
      </c>
      <c r="G23" s="32" t="inlineStr">
        <is>
          <t>Sales Rep Name</t>
        </is>
      </c>
    </row>
    <row r="24">
      <c r="A24" s="37" t="inlineStr">
        <is>
          <t>Executive Dashboard</t>
        </is>
      </c>
      <c r="B24" s="37" t="inlineStr">
        <is>
          <t>YPPUPE</t>
        </is>
      </c>
      <c r="C24" s="37" t="inlineStr">
        <is>
          <t>treemap</t>
        </is>
      </c>
      <c r="D24" s="37" t="inlineStr">
        <is>
          <t>Account Receivable Analysis</t>
        </is>
      </c>
      <c r="E24" s="37" t="inlineStr">
        <is>
          <t>Master measure</t>
        </is>
      </c>
      <c r="F24" s="37" t="inlineStr">
        <is>
          <t>NPPsJt</t>
        </is>
      </c>
      <c r="G24" s="37" t="inlineStr">
        <is>
          <t>Revenue</t>
        </is>
      </c>
    </row>
    <row r="25">
      <c r="A25" s="32" t="inlineStr">
        <is>
          <t>Executive Dashboard</t>
        </is>
      </c>
      <c r="B25" s="32" t="inlineStr">
        <is>
          <t>trePT</t>
        </is>
      </c>
      <c r="C25" s="32" t="inlineStr">
        <is>
          <t>gauge</t>
        </is>
      </c>
      <c r="D25" s="32" t="inlineStr">
        <is>
          <t>Account Receivable Analysis</t>
        </is>
      </c>
      <c r="E25" s="32" t="inlineStr">
        <is>
          <t>Master measure</t>
        </is>
      </c>
      <c r="F25" s="32" t="inlineStr">
        <is>
          <t>DBUzjm</t>
        </is>
      </c>
      <c r="G25" s="32" t="inlineStr">
        <is>
          <t>Margin %</t>
        </is>
      </c>
    </row>
    <row r="26">
      <c r="A26" s="37" t="inlineStr">
        <is>
          <t>Executive Dashboard</t>
        </is>
      </c>
      <c r="B26" s="37" t="inlineStr">
        <is>
          <t>ZFaWvw</t>
        </is>
      </c>
      <c r="C26" s="37" t="inlineStr">
        <is>
          <t>gauge</t>
        </is>
      </c>
      <c r="D26" s="37" t="inlineStr">
        <is>
          <t>Account Receivable Analysis</t>
        </is>
      </c>
      <c r="E26" s="37" t="inlineStr">
        <is>
          <t>Master measure</t>
        </is>
      </c>
      <c r="F26" s="37" t="inlineStr">
        <is>
          <t>VSufGd</t>
        </is>
      </c>
      <c r="G26" s="37" t="inlineStr">
        <is>
          <t>Days Sales Outstanding</t>
        </is>
      </c>
    </row>
    <row r="27">
      <c r="A27" s="32" t="inlineStr">
        <is>
          <t>Executive Dashboard</t>
        </is>
      </c>
      <c r="B27" s="32" t="inlineStr">
        <is>
          <t>VARhxUj</t>
        </is>
      </c>
      <c r="C27" s="32" t="inlineStr">
        <is>
          <t>gauge</t>
        </is>
      </c>
      <c r="D27" s="32" t="inlineStr">
        <is>
          <t>Account Receivable Analysis</t>
        </is>
      </c>
      <c r="E27" s="32" t="inlineStr">
        <is>
          <t>Master measure</t>
        </is>
      </c>
      <c r="F27" s="32" t="inlineStr">
        <is>
          <t>FDPQYx</t>
        </is>
      </c>
      <c r="G27" s="32" t="inlineStr">
        <is>
          <t>AR % Overdue</t>
        </is>
      </c>
    </row>
    <row r="28">
      <c r="A28" s="37" t="inlineStr">
        <is>
          <t>Executive Dashboard</t>
        </is>
      </c>
      <c r="B28" s="37" t="inlineStr">
        <is>
          <t>BmfQbz</t>
        </is>
      </c>
      <c r="C28" s="37" t="inlineStr">
        <is>
          <t>scatterplot</t>
        </is>
      </c>
      <c r="D28" s="37" t="inlineStr">
        <is>
          <t>Account Receivable Analysis</t>
        </is>
      </c>
      <c r="E28" s="37" t="inlineStr">
        <is>
          <t>Master dimension</t>
        </is>
      </c>
      <c r="F28" s="37" t="inlineStr">
        <is>
          <t>pcZcGjn</t>
        </is>
      </c>
      <c r="G28" s="37" t="inlineStr">
        <is>
          <t>Customer</t>
        </is>
      </c>
    </row>
    <row r="29">
      <c r="A29" s="32" t="inlineStr">
        <is>
          <t>Executive Dashboard</t>
        </is>
      </c>
      <c r="B29" s="32" t="inlineStr">
        <is>
          <t>BmfQbz</t>
        </is>
      </c>
      <c r="C29" s="32" t="inlineStr">
        <is>
          <t>scatterplot</t>
        </is>
      </c>
      <c r="D29" s="32" t="inlineStr">
        <is>
          <t>Account Receivable Analysis</t>
        </is>
      </c>
      <c r="E29" s="32" t="inlineStr">
        <is>
          <t>Master measure</t>
        </is>
      </c>
      <c r="F29" s="32" t="inlineStr">
        <is>
          <t>TGwPSs</t>
        </is>
      </c>
      <c r="G29" s="32" t="inlineStr">
        <is>
          <t>CY Sales</t>
        </is>
      </c>
    </row>
    <row r="30">
      <c r="A30" s="37" t="inlineStr">
        <is>
          <t>Executive Dashboard</t>
        </is>
      </c>
      <c r="B30" s="37" t="inlineStr">
        <is>
          <t>BmfQbz</t>
        </is>
      </c>
      <c r="C30" s="37" t="inlineStr">
        <is>
          <t>scatterplot</t>
        </is>
      </c>
      <c r="D30" s="37" t="inlineStr">
        <is>
          <t>Account Receivable Analysis</t>
        </is>
      </c>
      <c r="E30" s="37" t="inlineStr">
        <is>
          <t>Master measure</t>
        </is>
      </c>
      <c r="F30" s="37" t="inlineStr">
        <is>
          <t>DBUzjm</t>
        </is>
      </c>
      <c r="G30" s="37" t="inlineStr">
        <is>
          <t>Margin %</t>
        </is>
      </c>
    </row>
    <row r="31">
      <c r="A31" s="32" t="inlineStr">
        <is>
          <t>Executive Dashboard</t>
        </is>
      </c>
      <c r="B31" s="32" t="inlineStr">
        <is>
          <t>mVPztHm</t>
        </is>
      </c>
      <c r="C31" s="32" t="inlineStr">
        <is>
          <t>scatterplot</t>
        </is>
      </c>
      <c r="D31" s="32" t="inlineStr">
        <is>
          <t>Account Receivable Analysis</t>
        </is>
      </c>
      <c r="E31" s="32" t="inlineStr">
        <is>
          <t>Master dimension</t>
        </is>
      </c>
      <c r="F31" s="32" t="inlineStr">
        <is>
          <t>pcZcGjn</t>
        </is>
      </c>
      <c r="G31" s="32" t="inlineStr">
        <is>
          <t>Customer</t>
        </is>
      </c>
    </row>
    <row r="32">
      <c r="A32" s="37" t="inlineStr">
        <is>
          <t>Executive Dashboard</t>
        </is>
      </c>
      <c r="B32" s="37" t="inlineStr">
        <is>
          <t>mVPztHm</t>
        </is>
      </c>
      <c r="C32" s="37" t="inlineStr">
        <is>
          <t>scatterplot</t>
        </is>
      </c>
      <c r="D32" s="37" t="inlineStr">
        <is>
          <t>Account Receivable Analysis</t>
        </is>
      </c>
      <c r="E32" s="37" t="inlineStr">
        <is>
          <t>Master measure</t>
        </is>
      </c>
      <c r="F32" s="37" t="inlineStr">
        <is>
          <t>VSufGd</t>
        </is>
      </c>
      <c r="G32" s="37" t="inlineStr">
        <is>
          <t>Days Sales Outstanding</t>
        </is>
      </c>
    </row>
    <row r="33">
      <c r="A33" s="32" t="inlineStr">
        <is>
          <t>Executive Dashboard</t>
        </is>
      </c>
      <c r="B33" s="32" t="inlineStr">
        <is>
          <t>mVPztHm</t>
        </is>
      </c>
      <c r="C33" s="32" t="inlineStr">
        <is>
          <t>scatterplot</t>
        </is>
      </c>
      <c r="D33" s="32" t="inlineStr">
        <is>
          <t>Account Receivable Analysis</t>
        </is>
      </c>
      <c r="E33" s="32" t="inlineStr">
        <is>
          <t>Master measure</t>
        </is>
      </c>
      <c r="F33" s="32" t="inlineStr">
        <is>
          <t>vLRMZz</t>
        </is>
      </c>
      <c r="G33" s="32" t="inlineStr">
        <is>
          <t>Amount Overdue</t>
        </is>
      </c>
    </row>
    <row r="34">
      <c r="A34" s="37" t="inlineStr">
        <is>
          <t>Executive Dashboard</t>
        </is>
      </c>
      <c r="B34" s="37" t="inlineStr">
        <is>
          <t>NeLVr</t>
        </is>
      </c>
      <c r="C34" s="37" t="inlineStr">
        <is>
          <t>scatterplot</t>
        </is>
      </c>
      <c r="D34" s="37" t="inlineStr">
        <is>
          <t>Account Receivable Analysis</t>
        </is>
      </c>
      <c r="E34" s="37" t="inlineStr">
        <is>
          <t>Master dimension</t>
        </is>
      </c>
      <c r="F34" s="37" t="inlineStr">
        <is>
          <t>pcZcGjn</t>
        </is>
      </c>
      <c r="G34" s="37" t="inlineStr">
        <is>
          <t>Customer</t>
        </is>
      </c>
    </row>
    <row r="35">
      <c r="A35" s="32" t="inlineStr">
        <is>
          <t>Executive Dashboard</t>
        </is>
      </c>
      <c r="B35" s="32" t="inlineStr">
        <is>
          <t>NeLVr</t>
        </is>
      </c>
      <c r="C35" s="32" t="inlineStr">
        <is>
          <t>scatterplot</t>
        </is>
      </c>
      <c r="D35" s="32" t="inlineStr">
        <is>
          <t>Account Receivable Analysis</t>
        </is>
      </c>
      <c r="E35" s="32" t="inlineStr">
        <is>
          <t>Master measure</t>
        </is>
      </c>
      <c r="F35" s="32" t="inlineStr">
        <is>
          <t>pVTm</t>
        </is>
      </c>
      <c r="G35" s="32" t="inlineStr">
        <is>
          <t>AR Average Balance</t>
        </is>
      </c>
    </row>
    <row r="36">
      <c r="A36" s="37" t="inlineStr">
        <is>
          <t>Executive Dashboard</t>
        </is>
      </c>
      <c r="B36" s="37" t="inlineStr">
        <is>
          <t>NeLVr</t>
        </is>
      </c>
      <c r="C36" s="37" t="inlineStr">
        <is>
          <t>scatterplot</t>
        </is>
      </c>
      <c r="D36" s="37" t="inlineStr">
        <is>
          <t>Account Receivable Analysis</t>
        </is>
      </c>
      <c r="E36" s="37" t="inlineStr">
        <is>
          <t>Master measure</t>
        </is>
      </c>
      <c r="F36" s="37" t="inlineStr">
        <is>
          <t>YgtM</t>
        </is>
      </c>
      <c r="G36" s="37" t="inlineStr">
        <is>
          <t>Avg Sales Per Day</t>
        </is>
      </c>
    </row>
    <row r="37">
      <c r="A37" s="32" t="inlineStr">
        <is>
          <t>Executive Dashboard</t>
        </is>
      </c>
      <c r="B37" s="32" t="inlineStr">
        <is>
          <t>nnkLtpf</t>
        </is>
      </c>
      <c r="C37" s="32" t="inlineStr">
        <is>
          <t>table</t>
        </is>
      </c>
      <c r="D37" s="32" t="inlineStr">
        <is>
          <t>Account Receivable Analysis</t>
        </is>
      </c>
      <c r="E37" s="32" t="inlineStr">
        <is>
          <t>Master dimension</t>
        </is>
      </c>
      <c r="F37" s="32" t="inlineStr">
        <is>
          <t>pmresb</t>
        </is>
      </c>
      <c r="G37" s="32" t="inlineStr">
        <is>
          <t>Product</t>
        </is>
      </c>
    </row>
    <row r="38">
      <c r="A38" s="37" t="inlineStr">
        <is>
          <t>Executive Dashboard</t>
        </is>
      </c>
      <c r="B38" s="37" t="inlineStr">
        <is>
          <t>nnkLtpf</t>
        </is>
      </c>
      <c r="C38" s="37" t="inlineStr">
        <is>
          <t>table</t>
        </is>
      </c>
      <c r="D38" s="37" t="inlineStr">
        <is>
          <t>Account Receivable Analysis</t>
        </is>
      </c>
      <c r="E38" s="37" t="inlineStr">
        <is>
          <t>Master measure</t>
        </is>
      </c>
      <c r="F38" s="37" t="inlineStr">
        <is>
          <t>TGwPSs</t>
        </is>
      </c>
      <c r="G38" s="37" t="inlineStr">
        <is>
          <t>CY Sales</t>
        </is>
      </c>
    </row>
    <row r="39">
      <c r="A39" s="32" t="inlineStr">
        <is>
          <t>Executive Dashboard</t>
        </is>
      </c>
      <c r="B39" s="32" t="inlineStr">
        <is>
          <t>nnkLtpf</t>
        </is>
      </c>
      <c r="C39" s="32" t="inlineStr">
        <is>
          <t>table</t>
        </is>
      </c>
      <c r="D39" s="32" t="inlineStr">
        <is>
          <t>Account Receivable Analysis</t>
        </is>
      </c>
      <c r="E39" s="32" t="inlineStr">
        <is>
          <t>Master measure</t>
        </is>
      </c>
      <c r="F39" s="32" t="inlineStr">
        <is>
          <t>pWej</t>
        </is>
      </c>
      <c r="G39" s="32" t="inlineStr">
        <is>
          <t>LY Sales</t>
        </is>
      </c>
    </row>
    <row r="40">
      <c r="A40" s="37" t="inlineStr">
        <is>
          <t>Executive Dashboard</t>
        </is>
      </c>
      <c r="B40" s="37" t="inlineStr">
        <is>
          <t>fzrxtjq</t>
        </is>
      </c>
      <c r="C40" s="37" t="inlineStr">
        <is>
          <t>scatterplot</t>
        </is>
      </c>
      <c r="D40" s="37" t="inlineStr">
        <is>
          <t>Sales Analysis</t>
        </is>
      </c>
      <c r="E40" s="37" t="inlineStr">
        <is>
          <t>Master dimension</t>
        </is>
      </c>
      <c r="F40" s="37" t="inlineStr">
        <is>
          <t>XFhtUb</t>
        </is>
      </c>
      <c r="G40" s="37" t="inlineStr">
        <is>
          <t>Sales Rep Name</t>
        </is>
      </c>
    </row>
    <row r="41">
      <c r="A41" s="32" t="inlineStr">
        <is>
          <t>Executive Dashboard</t>
        </is>
      </c>
      <c r="B41" s="32" t="inlineStr">
        <is>
          <t>fzrxtjq</t>
        </is>
      </c>
      <c r="C41" s="32" t="inlineStr">
        <is>
          <t>scatterplot</t>
        </is>
      </c>
      <c r="D41" s="32" t="inlineStr">
        <is>
          <t>Sales Analysis</t>
        </is>
      </c>
      <c r="E41" s="32" t="inlineStr">
        <is>
          <t>Master measure</t>
        </is>
      </c>
      <c r="F41" s="32" t="inlineStr">
        <is>
          <t>DBUzjm</t>
        </is>
      </c>
      <c r="G41" s="32" t="inlineStr">
        <is>
          <t>Margin %</t>
        </is>
      </c>
    </row>
    <row r="42">
      <c r="A42" s="37" t="inlineStr">
        <is>
          <t>Executive Dashboard</t>
        </is>
      </c>
      <c r="B42" s="37" t="inlineStr">
        <is>
          <t>fzrxtjq</t>
        </is>
      </c>
      <c r="C42" s="37" t="inlineStr">
        <is>
          <t>scatterplot</t>
        </is>
      </c>
      <c r="D42" s="37" t="inlineStr">
        <is>
          <t>Sales Analysis</t>
        </is>
      </c>
      <c r="E42" s="37" t="inlineStr">
        <is>
          <t>Master measure</t>
        </is>
      </c>
      <c r="F42" s="37" t="inlineStr">
        <is>
          <t>NPPsJt</t>
        </is>
      </c>
      <c r="G42" s="37" t="inlineStr">
        <is>
          <t>Revenue</t>
        </is>
      </c>
    </row>
    <row r="43">
      <c r="A43" s="32" t="inlineStr">
        <is>
          <t>Executive Dashboard</t>
        </is>
      </c>
      <c r="B43" s="32" t="inlineStr">
        <is>
          <t>nvqpV</t>
        </is>
      </c>
      <c r="C43" s="32" t="inlineStr">
        <is>
          <t>linechart</t>
        </is>
      </c>
      <c r="D43" s="32" t="inlineStr">
        <is>
          <t>Sales Analysis</t>
        </is>
      </c>
      <c r="E43" s="32" t="inlineStr">
        <is>
          <t>Master dimension</t>
        </is>
      </c>
      <c r="F43" s="32" t="inlineStr">
        <is>
          <t>HnEfUp</t>
        </is>
      </c>
      <c r="G43" s="32" t="inlineStr">
        <is>
          <t>Year Month</t>
        </is>
      </c>
    </row>
    <row r="44">
      <c r="A44" s="37" t="inlineStr">
        <is>
          <t>Executive Dashboard</t>
        </is>
      </c>
      <c r="B44" s="37" t="inlineStr">
        <is>
          <t>nvqpV</t>
        </is>
      </c>
      <c r="C44" s="37" t="inlineStr">
        <is>
          <t>linechart</t>
        </is>
      </c>
      <c r="D44" s="37" t="inlineStr">
        <is>
          <t>Sales Analysis</t>
        </is>
      </c>
      <c r="E44" s="37" t="inlineStr">
        <is>
          <t>Master measure</t>
        </is>
      </c>
      <c r="F44" s="37" t="inlineStr">
        <is>
          <t>YgtM</t>
        </is>
      </c>
      <c r="G44" s="37" t="inlineStr">
        <is>
          <t>Avg Sales Per Day</t>
        </is>
      </c>
    </row>
    <row r="45">
      <c r="A45" s="32" t="inlineStr">
        <is>
          <t>Executive Dashboard</t>
        </is>
      </c>
      <c r="B45" s="32" t="inlineStr">
        <is>
          <t>qZPdytp</t>
        </is>
      </c>
      <c r="C45" s="32" t="inlineStr">
        <is>
          <t>barchart</t>
        </is>
      </c>
      <c r="D45" s="32" t="inlineStr">
        <is>
          <t>Sales Analysis</t>
        </is>
      </c>
      <c r="E45" s="32" t="inlineStr">
        <is>
          <t>Master dimension</t>
        </is>
      </c>
      <c r="F45" s="32" t="inlineStr">
        <is>
          <t>DcuPcq</t>
        </is>
      </c>
      <c r="G45" s="32" t="inlineStr">
        <is>
          <t>Product Sub Group Desc</t>
        </is>
      </c>
    </row>
    <row r="46">
      <c r="A46" s="37" t="inlineStr">
        <is>
          <t>Executive Dashboard</t>
        </is>
      </c>
      <c r="B46" s="37" t="inlineStr">
        <is>
          <t>qZPdytp</t>
        </is>
      </c>
      <c r="C46" s="37" t="inlineStr">
        <is>
          <t>barchart</t>
        </is>
      </c>
      <c r="D46" s="37" t="inlineStr">
        <is>
          <t>Sales Analysis</t>
        </is>
      </c>
      <c r="E46" s="37" t="inlineStr">
        <is>
          <t>Master measure</t>
        </is>
      </c>
      <c r="F46" s="37" t="inlineStr">
        <is>
          <t>NPPsJt</t>
        </is>
      </c>
      <c r="G46" s="37" t="inlineStr">
        <is>
          <t>Revenue</t>
        </is>
      </c>
    </row>
    <row r="47">
      <c r="A47" s="32" t="inlineStr">
        <is>
          <t>Executive Dashboard</t>
        </is>
      </c>
      <c r="B47" s="32" t="inlineStr">
        <is>
          <t>nURpk</t>
        </is>
      </c>
      <c r="C47" s="32" t="inlineStr">
        <is>
          <t>listbox</t>
        </is>
      </c>
      <c r="D47" s="32" t="inlineStr">
        <is>
          <t>Sales Analysis</t>
        </is>
      </c>
      <c r="E47" s="32" t="inlineStr">
        <is>
          <t>Master dimension</t>
        </is>
      </c>
      <c r="F47" s="32" t="inlineStr">
        <is>
          <t>wLJmmJn</t>
        </is>
      </c>
      <c r="G47" s="32" t="inlineStr">
        <is>
          <t>Segment</t>
        </is>
      </c>
    </row>
    <row r="48">
      <c r="A48" s="37" t="inlineStr">
        <is>
          <t>Executive Dashboard</t>
        </is>
      </c>
      <c r="B48" s="37" t="inlineStr">
        <is>
          <t>pdLG</t>
        </is>
      </c>
      <c r="C48" s="37" t="inlineStr">
        <is>
          <t>listbox</t>
        </is>
      </c>
      <c r="D48" s="37" t="inlineStr">
        <is>
          <t>Sales Analysis</t>
        </is>
      </c>
      <c r="E48" s="37" t="inlineStr">
        <is>
          <t>Master dimension</t>
        </is>
      </c>
      <c r="F48" s="37" t="inlineStr">
        <is>
          <t>jgxpDbw</t>
        </is>
      </c>
      <c r="G48" s="37" t="inlineStr">
        <is>
          <t>Region</t>
        </is>
      </c>
    </row>
    <row r="49">
      <c r="A49" s="32" t="inlineStr">
        <is>
          <t>Executive Dashboard</t>
        </is>
      </c>
      <c r="B49" s="32" t="inlineStr">
        <is>
          <t>BArut</t>
        </is>
      </c>
      <c r="C49" s="32" t="inlineStr">
        <is>
          <t>listbox</t>
        </is>
      </c>
      <c r="D49" s="32" t="inlineStr">
        <is>
          <t>Sales Analysis</t>
        </is>
      </c>
      <c r="E49" s="32" t="inlineStr">
        <is>
          <t>Master dimension</t>
        </is>
      </c>
      <c r="F49" s="32" t="inlineStr">
        <is>
          <t>XFhtUb</t>
        </is>
      </c>
      <c r="G49" s="32" t="inlineStr">
        <is>
          <t>Sales Rep Name</t>
        </is>
      </c>
    </row>
    <row r="50">
      <c r="A50" s="37" t="inlineStr">
        <is>
          <t>Executive Dashboard</t>
        </is>
      </c>
      <c r="B50" s="37" t="inlineStr">
        <is>
          <t>RdNtA</t>
        </is>
      </c>
      <c r="C50" s="37" t="inlineStr">
        <is>
          <t>listbox</t>
        </is>
      </c>
      <c r="D50" s="37" t="inlineStr">
        <is>
          <t>Sales Analysis</t>
        </is>
      </c>
      <c r="E50" s="37" t="inlineStr">
        <is>
          <t>Master dimension</t>
        </is>
      </c>
      <c r="F50" s="37" t="inlineStr">
        <is>
          <t>rAWLLGj</t>
        </is>
      </c>
      <c r="G50" s="37" t="inlineStr">
        <is>
          <t>Product Group</t>
        </is>
      </c>
    </row>
    <row r="51">
      <c r="A51" s="32" t="inlineStr">
        <is>
          <t>Executive Dashboard</t>
        </is>
      </c>
      <c r="B51" s="32" t="inlineStr">
        <is>
          <t>tmaqpf</t>
        </is>
      </c>
      <c r="C51" s="32" t="inlineStr">
        <is>
          <t>treemap</t>
        </is>
      </c>
      <c r="D51" s="32" t="inlineStr">
        <is>
          <t>(master visualization)</t>
        </is>
      </c>
      <c r="E51" s="32" t="inlineStr">
        <is>
          <t>Master dimension</t>
        </is>
      </c>
      <c r="F51" s="32" t="inlineStr">
        <is>
          <t>pmresb</t>
        </is>
      </c>
      <c r="G51" s="32" t="inlineStr">
        <is>
          <t>Product</t>
        </is>
      </c>
    </row>
    <row r="52">
      <c r="A52" s="37" t="inlineStr">
        <is>
          <t>Executive Dashboard</t>
        </is>
      </c>
      <c r="B52" s="37" t="inlineStr">
        <is>
          <t>tmaqpf</t>
        </is>
      </c>
      <c r="C52" s="37" t="inlineStr">
        <is>
          <t>treemap</t>
        </is>
      </c>
      <c r="D52" s="37" t="inlineStr">
        <is>
          <t>(master visualization)</t>
        </is>
      </c>
      <c r="E52" s="37" t="inlineStr">
        <is>
          <t>Master measure</t>
        </is>
      </c>
      <c r="F52" s="37" t="inlineStr">
        <is>
          <t>NPPsJt</t>
        </is>
      </c>
      <c r="G52" s="37" t="inlineStr">
        <is>
          <t>Revenue</t>
        </is>
      </c>
    </row>
    <row r="53">
      <c r="A53" s="32" t="inlineStr">
        <is>
          <t>Executive Dashboard</t>
        </is>
      </c>
      <c r="B53" s="32" t="inlineStr">
        <is>
          <t>JZMrdb</t>
        </is>
      </c>
      <c r="C53" s="32" t="inlineStr">
        <is>
          <t>table</t>
        </is>
      </c>
      <c r="D53" s="32" t="inlineStr">
        <is>
          <t>(master visualization)</t>
        </is>
      </c>
      <c r="E53" s="32" t="inlineStr">
        <is>
          <t>Master dimension</t>
        </is>
      </c>
      <c r="F53" s="32" t="inlineStr">
        <is>
          <t>pmresb</t>
        </is>
      </c>
      <c r="G53" s="32" t="inlineStr">
        <is>
          <t>Product</t>
        </is>
      </c>
    </row>
    <row r="54">
      <c r="A54" s="37" t="inlineStr">
        <is>
          <t>Executive Dashboard</t>
        </is>
      </c>
      <c r="B54" s="37" t="inlineStr">
        <is>
          <t>JZMrdb</t>
        </is>
      </c>
      <c r="C54" s="37" t="inlineStr">
        <is>
          <t>table</t>
        </is>
      </c>
      <c r="D54" s="37" t="inlineStr">
        <is>
          <t>(master visualization)</t>
        </is>
      </c>
      <c r="E54" s="37" t="inlineStr">
        <is>
          <t>Master dimension</t>
        </is>
      </c>
      <c r="F54" s="37" t="inlineStr">
        <is>
          <t>jxuDwx</t>
        </is>
      </c>
      <c r="G54" s="37" t="inlineStr">
        <is>
          <t>Inventory Turns</t>
        </is>
      </c>
    </row>
    <row r="55">
      <c r="A55" s="32" t="inlineStr">
        <is>
          <t>Executive Dashboard</t>
        </is>
      </c>
      <c r="B55" s="32" t="inlineStr">
        <is>
          <t>JZMrdb</t>
        </is>
      </c>
      <c r="C55" s="32" t="inlineStr">
        <is>
          <t>table</t>
        </is>
      </c>
      <c r="D55" s="32" t="inlineStr">
        <is>
          <t>(master visualization)</t>
        </is>
      </c>
      <c r="E55" s="32" t="inlineStr">
        <is>
          <t>Master measure</t>
        </is>
      </c>
      <c r="F55" s="32" t="inlineStr">
        <is>
          <t>w</t>
        </is>
      </c>
      <c r="G55" s="32" t="inlineStr">
        <is>
          <t>Inventory Amount</t>
        </is>
      </c>
    </row>
    <row r="56">
      <c r="A56" s="37" t="inlineStr">
        <is>
          <t>Executive Dashboard</t>
        </is>
      </c>
      <c r="B56" s="37" t="inlineStr">
        <is>
          <t>JZMrdb</t>
        </is>
      </c>
      <c r="C56" s="37" t="inlineStr">
        <is>
          <t>table</t>
        </is>
      </c>
      <c r="D56" s="37" t="inlineStr">
        <is>
          <t>(master visualization)</t>
        </is>
      </c>
      <c r="E56" s="37" t="inlineStr">
        <is>
          <t>Master measure</t>
        </is>
      </c>
      <c r="F56" s="37" t="inlineStr">
        <is>
          <t>DBUzjm</t>
        </is>
      </c>
      <c r="G56" s="37" t="inlineStr">
        <is>
          <t>Margin %</t>
        </is>
      </c>
    </row>
    <row r="57">
      <c r="A57" s="32" t="inlineStr">
        <is>
          <t>Executive Dashboard</t>
        </is>
      </c>
      <c r="B57" s="32" t="inlineStr">
        <is>
          <t>BHTXyNM</t>
        </is>
      </c>
      <c r="C57" s="32" t="inlineStr">
        <is>
          <t>piechart</t>
        </is>
      </c>
      <c r="D57" s="32" t="inlineStr">
        <is>
          <t>(master visualization)</t>
        </is>
      </c>
      <c r="E57" s="32" t="inlineStr">
        <is>
          <t>Master dimension</t>
        </is>
      </c>
      <c r="F57" s="32" t="inlineStr">
        <is>
          <t>aLVsP</t>
        </is>
      </c>
      <c r="G57" s="32" t="inlineStr">
        <is>
          <t>Account</t>
        </is>
      </c>
    </row>
    <row r="58">
      <c r="A58" s="37" t="inlineStr">
        <is>
          <t>Executive Dashboard</t>
        </is>
      </c>
      <c r="B58" s="37" t="inlineStr">
        <is>
          <t>BHTXyNM</t>
        </is>
      </c>
      <c r="C58" s="37" t="inlineStr">
        <is>
          <t>piechart</t>
        </is>
      </c>
      <c r="D58" s="37" t="inlineStr">
        <is>
          <t>(master visualization)</t>
        </is>
      </c>
      <c r="E58" s="37" t="inlineStr">
        <is>
          <t>Master measure</t>
        </is>
      </c>
      <c r="F58" s="37" t="inlineStr">
        <is>
          <t>gPDABt</t>
        </is>
      </c>
      <c r="G58" s="37" t="inlineStr">
        <is>
          <t>Expenses % of Sales</t>
        </is>
      </c>
    </row>
    <row r="59">
      <c r="A59" s="32" t="inlineStr">
        <is>
          <t>Executive Dashboard</t>
        </is>
      </c>
      <c r="B59" s="32" t="inlineStr">
        <is>
          <t>pDKRhr</t>
        </is>
      </c>
      <c r="C59" s="32" t="inlineStr">
        <is>
          <t>scatterplot</t>
        </is>
      </c>
      <c r="D59" s="32" t="inlineStr">
        <is>
          <t>(master visualization)</t>
        </is>
      </c>
      <c r="E59" s="32" t="inlineStr">
        <is>
          <t>Master dimension</t>
        </is>
      </c>
      <c r="F59" s="32" t="inlineStr">
        <is>
          <t>pcZcGjn</t>
        </is>
      </c>
      <c r="G59" s="32" t="inlineStr">
        <is>
          <t>Customer</t>
        </is>
      </c>
    </row>
    <row r="60">
      <c r="A60" s="37" t="inlineStr">
        <is>
          <t>Executive Dashboard</t>
        </is>
      </c>
      <c r="B60" s="37" t="inlineStr">
        <is>
          <t>pDKRhr</t>
        </is>
      </c>
      <c r="C60" s="37" t="inlineStr">
        <is>
          <t>scatterplot</t>
        </is>
      </c>
      <c r="D60" s="37" t="inlineStr">
        <is>
          <t>(master visualization)</t>
        </is>
      </c>
      <c r="E60" s="37" t="inlineStr">
        <is>
          <t>Master measure</t>
        </is>
      </c>
      <c r="F60" s="37" t="inlineStr">
        <is>
          <t>napvtJ</t>
        </is>
      </c>
      <c r="G60" s="37" t="inlineStr">
        <is>
          <t>Expense Amount</t>
        </is>
      </c>
    </row>
    <row r="61">
      <c r="A61" s="32" t="inlineStr">
        <is>
          <t>Executive Dashboard</t>
        </is>
      </c>
      <c r="B61" s="32" t="inlineStr">
        <is>
          <t>pDKRhr</t>
        </is>
      </c>
      <c r="C61" s="32" t="inlineStr">
        <is>
          <t>scatterplot</t>
        </is>
      </c>
      <c r="D61" s="32" t="inlineStr">
        <is>
          <t>(master visualization)</t>
        </is>
      </c>
      <c r="E61" s="32" t="inlineStr">
        <is>
          <t>Master measure</t>
        </is>
      </c>
      <c r="F61" s="32" t="inlineStr">
        <is>
          <t>NPPsJt</t>
        </is>
      </c>
      <c r="G61" s="32" t="inlineStr">
        <is>
          <t>Revenue</t>
        </is>
      </c>
    </row>
    <row r="62">
      <c r="A62" s="37" t="inlineStr">
        <is>
          <t>Executive Dashboard</t>
        </is>
      </c>
      <c r="B62" s="37" t="inlineStr">
        <is>
          <t>FDJPm</t>
        </is>
      </c>
      <c r="C62" s="37" t="inlineStr">
        <is>
          <t>table</t>
        </is>
      </c>
      <c r="D62" s="37" t="inlineStr">
        <is>
          <t>(master visualization)</t>
        </is>
      </c>
      <c r="E62" s="37" t="inlineStr">
        <is>
          <t>Master dimension</t>
        </is>
      </c>
      <c r="F62" s="37" t="inlineStr">
        <is>
          <t>nrxFRV</t>
        </is>
      </c>
      <c r="G62" s="37" t="inlineStr">
        <is>
          <t>Account Group</t>
        </is>
      </c>
    </row>
    <row r="63">
      <c r="A63" s="32" t="inlineStr">
        <is>
          <t>Executive Dashboard</t>
        </is>
      </c>
      <c r="B63" s="32" t="inlineStr">
        <is>
          <t>FDJPm</t>
        </is>
      </c>
      <c r="C63" s="32" t="inlineStr">
        <is>
          <t>table</t>
        </is>
      </c>
      <c r="D63" s="32" t="inlineStr">
        <is>
          <t>(master visualization)</t>
        </is>
      </c>
      <c r="E63" s="32" t="inlineStr">
        <is>
          <t>Master dimension</t>
        </is>
      </c>
      <c r="F63" s="32" t="inlineStr">
        <is>
          <t>aLVsP</t>
        </is>
      </c>
      <c r="G63" s="32" t="inlineStr">
        <is>
          <t>Account</t>
        </is>
      </c>
    </row>
    <row r="64">
      <c r="A64" s="37" t="inlineStr">
        <is>
          <t>Executive Dashboard</t>
        </is>
      </c>
      <c r="B64" s="37" t="inlineStr">
        <is>
          <t>FDJPm</t>
        </is>
      </c>
      <c r="C64" s="37" t="inlineStr">
        <is>
          <t>table</t>
        </is>
      </c>
      <c r="D64" s="37" t="inlineStr">
        <is>
          <t>(master visualization)</t>
        </is>
      </c>
      <c r="E64" s="37" t="inlineStr">
        <is>
          <t>Master measure</t>
        </is>
      </c>
      <c r="F64" s="37" t="inlineStr">
        <is>
          <t>KKnaBV</t>
        </is>
      </c>
      <c r="G64" s="37" t="inlineStr">
        <is>
          <t>Expense 2012</t>
        </is>
      </c>
    </row>
    <row r="65">
      <c r="A65" s="32" t="inlineStr">
        <is>
          <t>Executive Dashboard</t>
        </is>
      </c>
      <c r="B65" s="32" t="inlineStr">
        <is>
          <t>FDJPm</t>
        </is>
      </c>
      <c r="C65" s="32" t="inlineStr">
        <is>
          <t>table</t>
        </is>
      </c>
      <c r="D65" s="32" t="inlineStr">
        <is>
          <t>(master visualization)</t>
        </is>
      </c>
      <c r="E65" s="32" t="inlineStr">
        <is>
          <t>Master measure</t>
        </is>
      </c>
      <c r="F65" s="32" t="inlineStr">
        <is>
          <t>VjxMHP</t>
        </is>
      </c>
      <c r="G65" s="32" t="inlineStr">
        <is>
          <t>Budget</t>
        </is>
      </c>
    </row>
    <row r="66">
      <c r="A66" s="37" t="inlineStr">
        <is>
          <t>Executive Dashboard</t>
        </is>
      </c>
      <c r="B66" s="37" t="inlineStr">
        <is>
          <t>FDJPm</t>
        </is>
      </c>
      <c r="C66" s="37" t="inlineStr">
        <is>
          <t>table</t>
        </is>
      </c>
      <c r="D66" s="37" t="inlineStr">
        <is>
          <t>(master visualization)</t>
        </is>
      </c>
      <c r="E66" s="37" t="inlineStr">
        <is>
          <t>Master measure</t>
        </is>
      </c>
      <c r="F66" s="37" t="inlineStr">
        <is>
          <t>djTj</t>
        </is>
      </c>
      <c r="G66" s="37" t="inlineStr">
        <is>
          <t>Expenses 2013</t>
        </is>
      </c>
    </row>
    <row r="67">
      <c r="A67" s="32" t="inlineStr">
        <is>
          <t>Executive Dashboard</t>
        </is>
      </c>
      <c r="B67" s="32" t="inlineStr">
        <is>
          <t>nRxXG</t>
        </is>
      </c>
      <c r="C67" s="32" t="inlineStr">
        <is>
          <t>barchart</t>
        </is>
      </c>
      <c r="D67" s="32" t="inlineStr">
        <is>
          <t>(master visualization)</t>
        </is>
      </c>
      <c r="E67" s="32" t="inlineStr">
        <is>
          <t>Master dimension</t>
        </is>
      </c>
      <c r="F67" s="32" t="inlineStr">
        <is>
          <t>pmresb</t>
        </is>
      </c>
      <c r="G67" s="32" t="inlineStr">
        <is>
          <t>Product</t>
        </is>
      </c>
    </row>
    <row r="68">
      <c r="A68" s="37" t="inlineStr">
        <is>
          <t>Executive Dashboard</t>
        </is>
      </c>
      <c r="B68" s="37" t="inlineStr">
        <is>
          <t>nRxXG</t>
        </is>
      </c>
      <c r="C68" s="37" t="inlineStr">
        <is>
          <t>barchart</t>
        </is>
      </c>
      <c r="D68" s="37" t="inlineStr">
        <is>
          <t>(master visualization)</t>
        </is>
      </c>
      <c r="E68" s="37" t="inlineStr">
        <is>
          <t>Master measure</t>
        </is>
      </c>
      <c r="F68" s="37" t="inlineStr">
        <is>
          <t>w</t>
        </is>
      </c>
      <c r="G68" s="37" t="inlineStr">
        <is>
          <t>Inventory Amount</t>
        </is>
      </c>
    </row>
    <row r="69">
      <c r="A69" s="32" t="inlineStr">
        <is>
          <t>Helpdesk Management</t>
        </is>
      </c>
      <c r="B69" s="32" t="inlineStr">
        <is>
          <t>rJFbvG</t>
        </is>
      </c>
      <c r="C69" s="32" t="inlineStr">
        <is>
          <t>table</t>
        </is>
      </c>
      <c r="D69" s="32" t="inlineStr">
        <is>
          <t>Case Details</t>
        </is>
      </c>
      <c r="E69" s="32" t="inlineStr">
        <is>
          <t>Master measure</t>
        </is>
      </c>
      <c r="F69" s="32" t="inlineStr">
        <is>
          <t>emtEjp</t>
        </is>
      </c>
      <c r="G69" s="32" t="inlineStr">
        <is>
          <t>Case Duration (dd hh:mm)</t>
        </is>
      </c>
    </row>
    <row r="70">
      <c r="A70" s="37" t="inlineStr">
        <is>
          <t>Helpdesk Management</t>
        </is>
      </c>
      <c r="B70" s="37" t="inlineStr">
        <is>
          <t>uETyGUP</t>
        </is>
      </c>
      <c r="C70" s="37" t="inlineStr">
        <is>
          <t>table</t>
        </is>
      </c>
      <c r="D70" s="37" t="inlineStr">
        <is>
          <t>Performance</t>
        </is>
      </c>
      <c r="E70" s="37" t="inlineStr">
        <is>
          <t>Master measure</t>
        </is>
      </c>
      <c r="F70" s="37" t="inlineStr">
        <is>
          <t>RWUpaMm</t>
        </is>
      </c>
      <c r="G70" s="37" t="inlineStr">
        <is>
          <t>Tenure</t>
        </is>
      </c>
    </row>
    <row r="71">
      <c r="A71" s="32" t="inlineStr">
        <is>
          <t>Helpdesk Management</t>
        </is>
      </c>
      <c r="B71" s="32" t="inlineStr">
        <is>
          <t>uETyGUP</t>
        </is>
      </c>
      <c r="C71" s="32" t="inlineStr">
        <is>
          <t>table</t>
        </is>
      </c>
      <c r="D71" s="32" t="inlineStr">
        <is>
          <t>Performance</t>
        </is>
      </c>
      <c r="E71" s="32" t="inlineStr">
        <is>
          <t>Master measure</t>
        </is>
      </c>
      <c r="F71" s="32" t="inlineStr">
        <is>
          <t>MPcQeZ</t>
        </is>
      </c>
      <c r="G71" s="32" t="inlineStr">
        <is>
          <t>Open Cases</t>
        </is>
      </c>
    </row>
    <row r="72">
      <c r="A72" s="37" t="inlineStr">
        <is>
          <t>Helpdesk Management</t>
        </is>
      </c>
      <c r="B72" s="37" t="inlineStr">
        <is>
          <t>uETyGUP</t>
        </is>
      </c>
      <c r="C72" s="37" t="inlineStr">
        <is>
          <t>table</t>
        </is>
      </c>
      <c r="D72" s="37" t="inlineStr">
        <is>
          <t>Performance</t>
        </is>
      </c>
      <c r="E72" s="37" t="inlineStr">
        <is>
          <t>Master measure</t>
        </is>
      </c>
      <c r="F72" s="37" t="inlineStr">
        <is>
          <t>nmnRv</t>
        </is>
      </c>
      <c r="G72" s="37" t="inlineStr">
        <is>
          <t>Closed Cases</t>
        </is>
      </c>
    </row>
    <row r="73">
      <c r="A73" s="32" t="inlineStr">
        <is>
          <t>Helpdesk Management</t>
        </is>
      </c>
      <c r="B73" s="32" t="inlineStr">
        <is>
          <t>uETyGUP</t>
        </is>
      </c>
      <c r="C73" s="32" t="inlineStr">
        <is>
          <t>table</t>
        </is>
      </c>
      <c r="D73" s="32" t="inlineStr">
        <is>
          <t>Performance</t>
        </is>
      </c>
      <c r="E73" s="32" t="inlineStr">
        <is>
          <t>Master measure</t>
        </is>
      </c>
      <c r="F73" s="32" t="inlineStr">
        <is>
          <t>vpjnFZ</t>
        </is>
      </c>
      <c r="G73" s="32" t="inlineStr">
        <is>
          <t>Total Cases</t>
        </is>
      </c>
    </row>
    <row r="74">
      <c r="A74" s="37" t="inlineStr">
        <is>
          <t>Helpdesk Management</t>
        </is>
      </c>
      <c r="B74" s="37" t="inlineStr">
        <is>
          <t>uETyGUP</t>
        </is>
      </c>
      <c r="C74" s="37" t="inlineStr">
        <is>
          <t>table</t>
        </is>
      </c>
      <c r="D74" s="37" t="inlineStr">
        <is>
          <t>Performance</t>
        </is>
      </c>
      <c r="E74" s="37" t="inlineStr">
        <is>
          <t>Master measure</t>
        </is>
      </c>
      <c r="F74" s="37" t="inlineStr">
        <is>
          <t>PXChPe</t>
        </is>
      </c>
      <c r="G74" s="37" t="inlineStr">
        <is>
          <t>Open Cases - High</t>
        </is>
      </c>
    </row>
    <row r="75">
      <c r="A75" s="32" t="inlineStr">
        <is>
          <t>Helpdesk Management</t>
        </is>
      </c>
      <c r="B75" s="32" t="inlineStr">
        <is>
          <t>uETyGUP</t>
        </is>
      </c>
      <c r="C75" s="32" t="inlineStr">
        <is>
          <t>table</t>
        </is>
      </c>
      <c r="D75" s="32" t="inlineStr">
        <is>
          <t>Performance</t>
        </is>
      </c>
      <c r="E75" s="32" t="inlineStr">
        <is>
          <t>Master measure</t>
        </is>
      </c>
      <c r="F75" s="32" t="inlineStr">
        <is>
          <t>KKAuzYz</t>
        </is>
      </c>
      <c r="G75" s="32" t="inlineStr">
        <is>
          <t>Open Cases - Medium</t>
        </is>
      </c>
    </row>
    <row r="76">
      <c r="A76" s="37" t="inlineStr">
        <is>
          <t>Helpdesk Management</t>
        </is>
      </c>
      <c r="B76" s="37" t="inlineStr">
        <is>
          <t>uETyGUP</t>
        </is>
      </c>
      <c r="C76" s="37" t="inlineStr">
        <is>
          <t>table</t>
        </is>
      </c>
      <c r="D76" s="37" t="inlineStr">
        <is>
          <t>Performance</t>
        </is>
      </c>
      <c r="E76" s="37" t="inlineStr">
        <is>
          <t>Master measure</t>
        </is>
      </c>
      <c r="F76" s="37" t="inlineStr">
        <is>
          <t>QYLgZ</t>
        </is>
      </c>
      <c r="G76" s="37" t="inlineStr">
        <is>
          <t>Open Cases - Low</t>
        </is>
      </c>
    </row>
    <row r="77">
      <c r="A77" s="32" t="inlineStr">
        <is>
          <t>Helpdesk Management</t>
        </is>
      </c>
      <c r="B77" s="32" t="inlineStr">
        <is>
          <t>uETyGUP</t>
        </is>
      </c>
      <c r="C77" s="32" t="inlineStr">
        <is>
          <t>table</t>
        </is>
      </c>
      <c r="D77" s="32" t="inlineStr">
        <is>
          <t>Performance</t>
        </is>
      </c>
      <c r="E77" s="32" t="inlineStr">
        <is>
          <t>Master measure</t>
        </is>
      </c>
      <c r="F77" s="32" t="inlineStr">
        <is>
          <t>eqZjE</t>
        </is>
      </c>
      <c r="G77" s="32" t="inlineStr">
        <is>
          <t>Avg Case Duration</t>
        </is>
      </c>
    </row>
    <row r="78">
      <c r="A78" s="37" t="inlineStr">
        <is>
          <t>Helpdesk Management</t>
        </is>
      </c>
      <c r="B78" s="37" t="inlineStr">
        <is>
          <t>xfvKMP</t>
        </is>
      </c>
      <c r="C78" s="37" t="inlineStr">
        <is>
          <t>linechart</t>
        </is>
      </c>
      <c r="D78" s="37" t="inlineStr">
        <is>
          <t>Performance</t>
        </is>
      </c>
      <c r="E78" s="37" t="inlineStr">
        <is>
          <t>Master measure</t>
        </is>
      </c>
      <c r="F78" s="37" t="inlineStr">
        <is>
          <t>XpPvDqf</t>
        </is>
      </c>
      <c r="G78" s="37" t="inlineStr">
        <is>
          <t>Cumulative New Cases</t>
        </is>
      </c>
    </row>
    <row r="79">
      <c r="A79" s="32" t="inlineStr">
        <is>
          <t>Helpdesk Management</t>
        </is>
      </c>
      <c r="B79" s="32" t="inlineStr">
        <is>
          <t>PAppmU</t>
        </is>
      </c>
      <c r="C79" s="32" t="inlineStr">
        <is>
          <t>piechart</t>
        </is>
      </c>
      <c r="D79" s="32" t="inlineStr">
        <is>
          <t>Performance</t>
        </is>
      </c>
      <c r="E79" s="32" t="inlineStr">
        <is>
          <t>Master measure</t>
        </is>
      </c>
      <c r="F79" s="32" t="inlineStr">
        <is>
          <t>MPcQeZ</t>
        </is>
      </c>
      <c r="G79" s="32" t="inlineStr">
        <is>
          <t>Open Cases</t>
        </is>
      </c>
    </row>
    <row r="80">
      <c r="A80" s="37" t="inlineStr">
        <is>
          <t>Helpdesk Management</t>
        </is>
      </c>
      <c r="B80" s="37" t="inlineStr">
        <is>
          <t>a5e0f12c-38f5-4da9-8f3f-0e4566b28398</t>
        </is>
      </c>
      <c r="C80" s="37" t="inlineStr">
        <is>
          <t>barchart</t>
        </is>
      </c>
      <c r="D80" s="37" t="inlineStr">
        <is>
          <t>Dashboard</t>
        </is>
      </c>
      <c r="E80" s="37" t="inlineStr">
        <is>
          <t>Master measure</t>
        </is>
      </c>
      <c r="F80" s="37" t="inlineStr">
        <is>
          <t>eqZjE</t>
        </is>
      </c>
      <c r="G80" s="37" t="inlineStr">
        <is>
          <t>Avg Case Duration</t>
        </is>
      </c>
    </row>
    <row r="81">
      <c r="A81" s="32" t="inlineStr">
        <is>
          <t>Helpdesk Management</t>
        </is>
      </c>
      <c r="B81" s="32" t="inlineStr">
        <is>
          <t>298bbd6d-f23d-4469-94a2-df243d680e0c</t>
        </is>
      </c>
      <c r="C81" s="32" t="inlineStr">
        <is>
          <t>scatterplot</t>
        </is>
      </c>
      <c r="D81" s="32" t="inlineStr">
        <is>
          <t>Dashboard</t>
        </is>
      </c>
      <c r="E81" s="32" t="inlineStr">
        <is>
          <t>Master measure</t>
        </is>
      </c>
      <c r="F81" s="32" t="inlineStr">
        <is>
          <t>eqZjE</t>
        </is>
      </c>
      <c r="G81" s="32" t="inlineStr">
        <is>
          <t>Avg Case Duration</t>
        </is>
      </c>
    </row>
    <row r="82">
      <c r="A82" s="37" t="inlineStr">
        <is>
          <t>Helpdesk Management</t>
        </is>
      </c>
      <c r="B82" s="37" t="inlineStr">
        <is>
          <t>298bbd6d-f23d-4469-94a2-df243d680e0c</t>
        </is>
      </c>
      <c r="C82" s="37" t="inlineStr">
        <is>
          <t>scatterplot</t>
        </is>
      </c>
      <c r="D82" s="37" t="inlineStr">
        <is>
          <t>Dashboard</t>
        </is>
      </c>
      <c r="E82" s="37" t="inlineStr">
        <is>
          <t>Master measure</t>
        </is>
      </c>
      <c r="F82" s="37" t="inlineStr">
        <is>
          <t>MPcQeZ</t>
        </is>
      </c>
      <c r="G82" s="37" t="inlineStr">
        <is>
          <t>Open Cases</t>
        </is>
      </c>
    </row>
    <row r="83">
      <c r="A83" s="32" t="inlineStr">
        <is>
          <t>Helpdesk Management</t>
        </is>
      </c>
      <c r="B83" s="32" t="inlineStr">
        <is>
          <t>hRZaKk</t>
        </is>
      </c>
      <c r="C83" s="32" t="inlineStr">
        <is>
          <t>linechart</t>
        </is>
      </c>
      <c r="D83" s="32" t="inlineStr">
        <is>
          <t>Dashboard</t>
        </is>
      </c>
      <c r="E83" s="32" t="inlineStr">
        <is>
          <t>Master measure</t>
        </is>
      </c>
      <c r="F83" s="32" t="inlineStr">
        <is>
          <t>XpPvDqf</t>
        </is>
      </c>
      <c r="G83" s="32" t="inlineStr">
        <is>
          <t>Cumulative New Cases</t>
        </is>
      </c>
    </row>
    <row r="84">
      <c r="A84" s="37" t="inlineStr">
        <is>
          <t>Helpdesk Management</t>
        </is>
      </c>
      <c r="B84" s="37" t="inlineStr">
        <is>
          <t>hRZaKk</t>
        </is>
      </c>
      <c r="C84" s="37" t="inlineStr">
        <is>
          <t>linechart</t>
        </is>
      </c>
      <c r="D84" s="37" t="inlineStr">
        <is>
          <t>Dashboard</t>
        </is>
      </c>
      <c r="E84" s="37" t="inlineStr">
        <is>
          <t>Master measure</t>
        </is>
      </c>
      <c r="F84" s="37" t="inlineStr">
        <is>
          <t>FCzjwjd</t>
        </is>
      </c>
      <c r="G84" s="37" t="inlineStr">
        <is>
          <t>Cumulative Closed Cases</t>
        </is>
      </c>
    </row>
    <row r="85">
      <c r="A85" s="32" t="inlineStr">
        <is>
          <t>Tutorial creazione nuova app</t>
        </is>
      </c>
      <c r="B85" s="32" t="inlineStr">
        <is>
          <t>pzU</t>
        </is>
      </c>
      <c r="C85" s="32" t="inlineStr">
        <is>
          <t>filterpane</t>
        </is>
      </c>
      <c r="D85" s="32" t="inlineStr">
        <is>
          <t>Dashboard</t>
        </is>
      </c>
      <c r="E85" s="32" t="inlineStr">
        <is>
          <t>Master visualization</t>
        </is>
      </c>
      <c r="F85" s="32" t="inlineStr">
        <is>
          <t>rmBWDa</t>
        </is>
      </c>
      <c r="G85" s="32" t="inlineStr">
        <is>
          <t>Period</t>
        </is>
      </c>
    </row>
    <row r="86">
      <c r="A86" s="37" t="inlineStr">
        <is>
          <t>Tutorial creazione nuova app</t>
        </is>
      </c>
      <c r="B86" s="37" t="inlineStr">
        <is>
          <t>pnMDWX</t>
        </is>
      </c>
      <c r="C86" s="37" t="inlineStr">
        <is>
          <t>filterpane</t>
        </is>
      </c>
      <c r="D86" s="37" t="inlineStr">
        <is>
          <t>Dashboard</t>
        </is>
      </c>
      <c r="E86" s="37" t="inlineStr">
        <is>
          <t>Master visualization</t>
        </is>
      </c>
      <c r="F86" s="37" t="inlineStr">
        <is>
          <t>ZvUFrB</t>
        </is>
      </c>
      <c r="G86" s="37" t="inlineStr">
        <is>
          <t>Region</t>
        </is>
      </c>
    </row>
    <row r="87">
      <c r="A87" s="32" t="inlineStr">
        <is>
          <t>Tutorial creazione nuova app</t>
        </is>
      </c>
      <c r="B87" s="32" t="inlineStr">
        <is>
          <t>ydBXqP</t>
        </is>
      </c>
      <c r="C87" s="32" t="inlineStr">
        <is>
          <t>piechart</t>
        </is>
      </c>
      <c r="D87" s="32" t="inlineStr">
        <is>
          <t>Dashboard</t>
        </is>
      </c>
      <c r="E87" s="32" t="inlineStr">
        <is>
          <t>Master measure</t>
        </is>
      </c>
      <c r="F87" s="32" t="inlineStr">
        <is>
          <t>pHjKV</t>
        </is>
      </c>
      <c r="G87" s="32" t="inlineStr">
        <is>
          <t>Sales</t>
        </is>
      </c>
    </row>
    <row r="88">
      <c r="A88" s="37" t="inlineStr">
        <is>
          <t>Tutorial creazione nuova app</t>
        </is>
      </c>
      <c r="B88" s="37" t="inlineStr">
        <is>
          <t>ceJJpM</t>
        </is>
      </c>
      <c r="C88" s="37" t="inlineStr">
        <is>
          <t>barchart</t>
        </is>
      </c>
      <c r="D88" s="37" t="inlineStr">
        <is>
          <t>Dashboard</t>
        </is>
      </c>
      <c r="E88" s="37" t="inlineStr">
        <is>
          <t>Master measure</t>
        </is>
      </c>
      <c r="F88" s="37" t="inlineStr">
        <is>
          <t>pHjKV</t>
        </is>
      </c>
      <c r="G88" s="37" t="inlineStr">
        <is>
          <t>Sales</t>
        </is>
      </c>
    </row>
    <row r="89">
      <c r="A89" s="32" t="inlineStr">
        <is>
          <t>Tutorial creazione nuova app</t>
        </is>
      </c>
      <c r="B89" s="32" t="inlineStr">
        <is>
          <t>KgbDMp</t>
        </is>
      </c>
      <c r="C89" s="32" t="inlineStr">
        <is>
          <t>combochart</t>
        </is>
      </c>
      <c r="D89" s="32" t="inlineStr">
        <is>
          <t>Dashboard</t>
        </is>
      </c>
      <c r="E89" s="32" t="inlineStr">
        <is>
          <t>Master measure</t>
        </is>
      </c>
      <c r="F89" s="32" t="inlineStr">
        <is>
          <t>pHjKV</t>
        </is>
      </c>
      <c r="G89" s="32" t="inlineStr">
        <is>
          <t>Sales</t>
        </is>
      </c>
    </row>
    <row r="90">
      <c r="A90" s="37" t="inlineStr">
        <is>
          <t>Tutorial creazione nuova app</t>
        </is>
      </c>
      <c r="B90" s="37" t="inlineStr">
        <is>
          <t>KgbDMp</t>
        </is>
      </c>
      <c r="C90" s="37" t="inlineStr">
        <is>
          <t>combochart</t>
        </is>
      </c>
      <c r="D90" s="37" t="inlineStr">
        <is>
          <t>Dashboard</t>
        </is>
      </c>
      <c r="E90" s="37" t="inlineStr">
        <is>
          <t>Master measure</t>
        </is>
      </c>
      <c r="F90" s="37" t="inlineStr">
        <is>
          <t>SKnVL</t>
        </is>
      </c>
      <c r="G90" s="37" t="inlineStr">
        <is>
          <t>Margin Percent</t>
        </is>
      </c>
    </row>
    <row r="91">
      <c r="A91" s="32" t="inlineStr">
        <is>
          <t>Tutorial creazione nuova app</t>
        </is>
      </c>
      <c r="B91" s="32" t="inlineStr">
        <is>
          <t>cqkwuD</t>
        </is>
      </c>
      <c r="C91" s="32" t="inlineStr">
        <is>
          <t>kpi</t>
        </is>
      </c>
      <c r="D91" s="32" t="inlineStr">
        <is>
          <t>Dashboard</t>
        </is>
      </c>
      <c r="E91" s="32" t="inlineStr">
        <is>
          <t>Master measure</t>
        </is>
      </c>
      <c r="F91" s="32" t="inlineStr">
        <is>
          <t>pHjKV</t>
        </is>
      </c>
      <c r="G91" s="32" t="inlineStr">
        <is>
          <t>Sales</t>
        </is>
      </c>
    </row>
    <row r="92">
      <c r="A92" s="37" t="inlineStr">
        <is>
          <t>Tutorial creazione nuova app</t>
        </is>
      </c>
      <c r="B92" s="37" t="inlineStr">
        <is>
          <t>Agtgjbq</t>
        </is>
      </c>
      <c r="C92" s="37" t="inlineStr">
        <is>
          <t>gauge</t>
        </is>
      </c>
      <c r="D92" s="37" t="inlineStr">
        <is>
          <t>Dashboard</t>
        </is>
      </c>
      <c r="E92" s="37" t="inlineStr">
        <is>
          <t>Master measure</t>
        </is>
      </c>
      <c r="F92" s="37" t="inlineStr">
        <is>
          <t>SKnVL</t>
        </is>
      </c>
      <c r="G92" s="37" t="inlineStr">
        <is>
          <t>Margin Percent</t>
        </is>
      </c>
    </row>
    <row r="93">
      <c r="A93" s="32" t="inlineStr">
        <is>
          <t>Tutorial creazione nuova app</t>
        </is>
      </c>
      <c r="B93" s="32" t="inlineStr">
        <is>
          <t>fLTdzY</t>
        </is>
      </c>
      <c r="C93" s="32" t="inlineStr">
        <is>
          <t>linechart</t>
        </is>
      </c>
      <c r="D93" s="32" t="inlineStr">
        <is>
          <t>Dashboard</t>
        </is>
      </c>
      <c r="E93" s="32" t="inlineStr">
        <is>
          <t>Master measure</t>
        </is>
      </c>
      <c r="F93" s="32" t="inlineStr">
        <is>
          <t>pHjKV</t>
        </is>
      </c>
      <c r="G93" s="32" t="inlineStr">
        <is>
          <t>Sales</t>
        </is>
      </c>
    </row>
    <row r="94">
      <c r="A94" s="37" t="inlineStr">
        <is>
          <t>Tutorial creazione nuova app</t>
        </is>
      </c>
      <c r="B94" s="37" t="inlineStr">
        <is>
          <t>jUKT</t>
        </is>
      </c>
      <c r="C94" s="37" t="inlineStr">
        <is>
          <t>filterpane</t>
        </is>
      </c>
      <c r="D94" s="37" t="inlineStr">
        <is>
          <t>Product details</t>
        </is>
      </c>
      <c r="E94" s="37" t="inlineStr">
        <is>
          <t>Master visualization</t>
        </is>
      </c>
      <c r="F94" s="37" t="inlineStr">
        <is>
          <t>rmBWDa</t>
        </is>
      </c>
      <c r="G94" s="37" t="inlineStr">
        <is>
          <t>Period</t>
        </is>
      </c>
    </row>
    <row r="95">
      <c r="A95" s="32" t="inlineStr">
        <is>
          <t>Tutorial creazione nuova app</t>
        </is>
      </c>
      <c r="B95" s="32" t="inlineStr">
        <is>
          <t>UsusUz</t>
        </is>
      </c>
      <c r="C95" s="32" t="inlineStr">
        <is>
          <t>filterpane</t>
        </is>
      </c>
      <c r="D95" s="32" t="inlineStr">
        <is>
          <t>Product details</t>
        </is>
      </c>
      <c r="E95" s="32" t="inlineStr">
        <is>
          <t>Master visualization</t>
        </is>
      </c>
      <c r="F95" s="32" t="inlineStr">
        <is>
          <t>ZvUFrB</t>
        </is>
      </c>
      <c r="G95" s="32" t="inlineStr">
        <is>
          <t>Region</t>
        </is>
      </c>
    </row>
    <row r="96">
      <c r="A96" s="37" t="inlineStr">
        <is>
          <t>Tutorial creazione nuova app</t>
        </is>
      </c>
      <c r="B96" s="37" t="inlineStr">
        <is>
          <t>cqdV</t>
        </is>
      </c>
      <c r="C96" s="37" t="inlineStr">
        <is>
          <t>barchart</t>
        </is>
      </c>
      <c r="D96" s="37" t="inlineStr">
        <is>
          <t>Product details</t>
        </is>
      </c>
      <c r="E96" s="37" t="inlineStr">
        <is>
          <t>Master measure</t>
        </is>
      </c>
      <c r="F96" s="37" t="inlineStr">
        <is>
          <t>pHjKV</t>
        </is>
      </c>
      <c r="G96" s="37" t="inlineStr">
        <is>
          <t>Sales</t>
        </is>
      </c>
    </row>
    <row r="97">
      <c r="A97" s="32" t="inlineStr">
        <is>
          <t>Tutorial creazione nuova app</t>
        </is>
      </c>
      <c r="B97" s="32" t="inlineStr">
        <is>
          <t>cqdV</t>
        </is>
      </c>
      <c r="C97" s="32" t="inlineStr">
        <is>
          <t>barchart</t>
        </is>
      </c>
      <c r="D97" s="32" t="inlineStr">
        <is>
          <t>Product details</t>
        </is>
      </c>
      <c r="E97" s="32" t="inlineStr">
        <is>
          <t>Master measure</t>
        </is>
      </c>
      <c r="F97" s="32" t="inlineStr">
        <is>
          <t>xNwJu</t>
        </is>
      </c>
      <c r="G97" s="32" t="inlineStr">
        <is>
          <t>Margin</t>
        </is>
      </c>
    </row>
    <row r="98">
      <c r="A98" s="37" t="inlineStr">
        <is>
          <t>Tutorial creazione nuova app</t>
        </is>
      </c>
      <c r="B98" s="37" t="inlineStr">
        <is>
          <t>pKWxgrw</t>
        </is>
      </c>
      <c r="C98" s="37" t="inlineStr">
        <is>
          <t>treemap</t>
        </is>
      </c>
      <c r="D98" s="37" t="inlineStr">
        <is>
          <t>Product details</t>
        </is>
      </c>
      <c r="E98" s="37" t="inlineStr">
        <is>
          <t>Master measure</t>
        </is>
      </c>
      <c r="F98" s="37" t="inlineStr">
        <is>
          <t>pHjKV</t>
        </is>
      </c>
      <c r="G98" s="37" t="inlineStr">
        <is>
          <t>Sales</t>
        </is>
      </c>
    </row>
    <row r="99">
      <c r="A99" s="32" t="inlineStr">
        <is>
          <t>Tutorial creazione nuova app</t>
        </is>
      </c>
      <c r="B99" s="32" t="inlineStr">
        <is>
          <t>HPTU</t>
        </is>
      </c>
      <c r="C99" s="32" t="inlineStr">
        <is>
          <t>filterpane</t>
        </is>
      </c>
      <c r="D99" s="32" t="inlineStr">
        <is>
          <t>Customer details</t>
        </is>
      </c>
      <c r="E99" s="32" t="inlineStr">
        <is>
          <t>Master visualization</t>
        </is>
      </c>
      <c r="F99" s="32" t="inlineStr">
        <is>
          <t>rmBWDa</t>
        </is>
      </c>
      <c r="G99" s="32" t="inlineStr">
        <is>
          <t>Period</t>
        </is>
      </c>
    </row>
    <row r="100">
      <c r="A100" s="37" t="inlineStr">
        <is>
          <t>Tutorial creazione nuova app</t>
        </is>
      </c>
      <c r="B100" s="37" t="inlineStr">
        <is>
          <t>qjmsvy</t>
        </is>
      </c>
      <c r="C100" s="37" t="inlineStr">
        <is>
          <t>filterpane</t>
        </is>
      </c>
      <c r="D100" s="37" t="inlineStr">
        <is>
          <t>Customer details</t>
        </is>
      </c>
      <c r="E100" s="37" t="inlineStr">
        <is>
          <t>Master visualization</t>
        </is>
      </c>
      <c r="F100" s="37" t="inlineStr">
        <is>
          <t>ZJhRsc</t>
        </is>
      </c>
      <c r="G100" s="37" t="inlineStr">
        <is>
          <t>Manager</t>
        </is>
      </c>
    </row>
    <row r="101">
      <c r="A101" s="32" t="inlineStr">
        <is>
          <t>Tutorial creazione nuova app</t>
        </is>
      </c>
      <c r="B101" s="32" t="inlineStr">
        <is>
          <t>CaFe</t>
        </is>
      </c>
      <c r="C101" s="32" t="inlineStr">
        <is>
          <t>scatterplot</t>
        </is>
      </c>
      <c r="D101" s="32" t="inlineStr">
        <is>
          <t>Customer details</t>
        </is>
      </c>
      <c r="E101" s="32" t="inlineStr">
        <is>
          <t>Master measure</t>
        </is>
      </c>
      <c r="F101" s="32" t="inlineStr">
        <is>
          <t>pHjKV</t>
        </is>
      </c>
      <c r="G101" s="32" t="inlineStr">
        <is>
          <t>Sales</t>
        </is>
      </c>
    </row>
    <row r="102">
      <c r="A102" s="37" t="inlineStr">
        <is>
          <t>Tutorial creazione nuova app</t>
        </is>
      </c>
      <c r="B102" s="37" t="inlineStr">
        <is>
          <t>CaFe</t>
        </is>
      </c>
      <c r="C102" s="37" t="inlineStr">
        <is>
          <t>scatterplot</t>
        </is>
      </c>
      <c r="D102" s="37" t="inlineStr">
        <is>
          <t>Customer details</t>
        </is>
      </c>
      <c r="E102" s="37" t="inlineStr">
        <is>
          <t>Master measure</t>
        </is>
      </c>
      <c r="F102" s="37" t="inlineStr">
        <is>
          <t>CdSMz</t>
        </is>
      </c>
      <c r="G102" s="37" t="inlineStr">
        <is>
          <t>Quantity</t>
        </is>
      </c>
    </row>
    <row r="103">
      <c r="A103" s="32" t="inlineStr">
        <is>
          <t>Tutorial creazione nuova app</t>
        </is>
      </c>
      <c r="B103" s="32" t="inlineStr">
        <is>
          <t>bJvxeAh</t>
        </is>
      </c>
      <c r="C103" s="32" t="inlineStr">
        <is>
          <t>pivot-table</t>
        </is>
      </c>
      <c r="D103" s="32" t="inlineStr">
        <is>
          <t>Customer details</t>
        </is>
      </c>
      <c r="E103" s="32" t="inlineStr">
        <is>
          <t>Master measure</t>
        </is>
      </c>
      <c r="F103" s="32" t="inlineStr">
        <is>
          <t>pHjKV</t>
        </is>
      </c>
      <c r="G103" s="32" t="inlineStr">
        <is>
          <t>Sales</t>
        </is>
      </c>
    </row>
    <row r="104">
      <c r="A104" s="37" t="inlineStr">
        <is>
          <t>Tutorial creazione nuova app</t>
        </is>
      </c>
      <c r="B104" s="37" t="inlineStr">
        <is>
          <t>bJvxeAh</t>
        </is>
      </c>
      <c r="C104" s="37" t="inlineStr">
        <is>
          <t>pivot-table</t>
        </is>
      </c>
      <c r="D104" s="37" t="inlineStr">
        <is>
          <t>Customer details</t>
        </is>
      </c>
      <c r="E104" s="37" t="inlineStr">
        <is>
          <t>Master measure</t>
        </is>
      </c>
      <c r="F104" s="37" t="inlineStr">
        <is>
          <t>CdSMz</t>
        </is>
      </c>
      <c r="G104" s="37" t="inlineStr">
        <is>
          <t>Quantity</t>
        </is>
      </c>
    </row>
    <row r="105">
      <c r="A105" s="32" t="inlineStr">
        <is>
          <t>Tutorial creazione nuova app</t>
        </is>
      </c>
      <c r="B105" s="32" t="inlineStr">
        <is>
          <t>bJvxeAh</t>
        </is>
      </c>
      <c r="C105" s="32" t="inlineStr">
        <is>
          <t>pivot-table</t>
        </is>
      </c>
      <c r="D105" s="32" t="inlineStr">
        <is>
          <t>Customer details</t>
        </is>
      </c>
      <c r="E105" s="32" t="inlineStr">
        <is>
          <t>Master measure</t>
        </is>
      </c>
      <c r="F105" s="32" t="inlineStr">
        <is>
          <t>SKnVL</t>
        </is>
      </c>
      <c r="G105" s="32" t="inlineStr">
        <is>
          <t>Margin Percent</t>
        </is>
      </c>
    </row>
    <row r="106">
      <c r="A106" s="37" t="inlineStr">
        <is>
          <t>Tutorial creazione nuova app</t>
        </is>
      </c>
      <c r="B106" s="37" t="inlineStr">
        <is>
          <t>bJvxeAh</t>
        </is>
      </c>
      <c r="C106" s="37" t="inlineStr">
        <is>
          <t>pivot-table</t>
        </is>
      </c>
      <c r="D106" s="37" t="inlineStr">
        <is>
          <t>Customer details</t>
        </is>
      </c>
      <c r="E106" s="37" t="inlineStr">
        <is>
          <t>Master measure</t>
        </is>
      </c>
      <c r="F106" s="37" t="inlineStr">
        <is>
          <t>LsPLsq</t>
        </is>
      </c>
      <c r="G106" s="37" t="inlineStr">
        <is>
          <t># of Invoices</t>
        </is>
      </c>
    </row>
    <row r="107">
      <c r="A107" s="32" t="inlineStr">
        <is>
          <t>Tutorial creazione nuova app</t>
        </is>
      </c>
      <c r="B107" s="32" t="inlineStr">
        <is>
          <t>bJvxeAh</t>
        </is>
      </c>
      <c r="C107" s="32" t="inlineStr">
        <is>
          <t>pivot-table</t>
        </is>
      </c>
      <c r="D107" s="32" t="inlineStr">
        <is>
          <t>Customer details</t>
        </is>
      </c>
      <c r="E107" s="32" t="inlineStr">
        <is>
          <t>Master measure</t>
        </is>
      </c>
      <c r="F107" s="32" t="inlineStr">
        <is>
          <t>VaEaEf</t>
        </is>
      </c>
      <c r="G107" s="32" t="inlineStr">
        <is>
          <t>Average Sales per Invoice</t>
        </is>
      </c>
    </row>
    <row r="108">
      <c r="A108" s="37" t="inlineStr">
        <is>
          <t>Tutorial creazione nuova app</t>
        </is>
      </c>
      <c r="B108" s="37" t="inlineStr">
        <is>
          <t>VzycV</t>
        </is>
      </c>
      <c r="C108" s="37" t="inlineStr">
        <is>
          <t>filterpane</t>
        </is>
      </c>
      <c r="D108" s="37" t="inlineStr">
        <is>
          <t>Customer location</t>
        </is>
      </c>
      <c r="E108" s="37" t="inlineStr">
        <is>
          <t>Master visualization</t>
        </is>
      </c>
      <c r="F108" s="37" t="inlineStr">
        <is>
          <t>ZvUFrB</t>
        </is>
      </c>
      <c r="G108" s="37" t="inlineStr">
        <is>
          <t>Region</t>
        </is>
      </c>
    </row>
    <row r="109">
      <c r="A109" s="32" t="inlineStr">
        <is>
          <t>Tutorial creazione nuova app</t>
        </is>
      </c>
      <c r="B109" s="32" t="inlineStr">
        <is>
          <t>MsfSMgj</t>
        </is>
      </c>
      <c r="C109" s="32" t="inlineStr">
        <is>
          <t>filterpane</t>
        </is>
      </c>
      <c r="D109" s="32" t="inlineStr">
        <is>
          <t>Customer location</t>
        </is>
      </c>
      <c r="E109" s="32" t="inlineStr">
        <is>
          <t>Master visualization</t>
        </is>
      </c>
      <c r="F109" s="32" t="inlineStr">
        <is>
          <t>GbHREb</t>
        </is>
      </c>
      <c r="G109" s="32" t="inlineStr">
        <is>
          <t>City</t>
        </is>
      </c>
    </row>
    <row r="110">
      <c r="A110" s="37" t="inlineStr">
        <is>
          <t>Tutorial creazione nuova app</t>
        </is>
      </c>
      <c r="B110" s="37" t="inlineStr">
        <is>
          <t>grYjvzB</t>
        </is>
      </c>
      <c r="C110" s="37" t="inlineStr">
        <is>
          <t>filterpane</t>
        </is>
      </c>
      <c r="D110" s="37" t="inlineStr">
        <is>
          <t>Customer location</t>
        </is>
      </c>
      <c r="E110" s="37" t="inlineStr">
        <is>
          <t>Master visualization</t>
        </is>
      </c>
      <c r="F110" s="37" t="inlineStr">
        <is>
          <t>LsAsQkp</t>
        </is>
      </c>
      <c r="G110" s="37" t="inlineStr">
        <is>
          <t>Customer</t>
        </is>
      </c>
    </row>
    <row r="111">
      <c r="A111" s="32" t="inlineStr">
        <is>
          <t>Tutorial creazione nuova app</t>
        </is>
      </c>
      <c r="B111" s="32" t="inlineStr">
        <is>
          <t>qbVaPgL</t>
        </is>
      </c>
      <c r="C111" s="32" t="inlineStr">
        <is>
          <t>map</t>
        </is>
      </c>
      <c r="D111" s="32" t="inlineStr">
        <is>
          <t>Customer location</t>
        </is>
      </c>
      <c r="E111" s="32" t="inlineStr">
        <is>
          <t>Master measure</t>
        </is>
      </c>
      <c r="F111" s="32" t="inlineStr">
        <is>
          <t>pHjKV</t>
        </is>
      </c>
      <c r="G111" s="32" t="inlineStr">
        <is>
          <t>Sales</t>
        </is>
      </c>
    </row>
  </sheetData>
  <autoFilter ref="A6:G111"/>
  <mergeCells count="1">
    <mergeCell ref="C2:E3"/>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2C4650"/>
    <outlinePr summaryBelow="1" summaryRight="1"/>
    <pageSetUpPr fitToPage="1"/>
  </sheetPr>
  <dimension ref="A2:J20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60" customWidth="1" min="3" max="3"/>
    <col width="40" customWidth="1" min="4" max="4"/>
    <col width="14" customWidth="1" min="5" max="5"/>
    <col width="12" customWidth="1" min="6" max="6"/>
    <col width="11" customWidth="1" min="7" max="7"/>
    <col width="18" customWidth="1" min="8" max="8"/>
    <col width="16" customWidth="1" min="9" max="9"/>
    <col width="11" customWidth="1" min="10" max="10"/>
  </cols>
  <sheetData>
    <row r="1" ht="24" customHeight="1"/>
    <row r="2" ht="24" customHeight="1">
      <c r="C2" s="1" t="inlineStr">
        <is>
          <t>Variables  ·  script and user variables</t>
        </is>
      </c>
    </row>
    <row r="3" ht="20" customHeight="1"/>
    <row r="4" ht="10" customHeight="1"/>
    <row r="5" ht="18" customHeight="1">
      <c r="A5" s="29">
        <f>HYPERLINK("#'Discovery'!A1","«  Back to Discovery")</f>
        <v/>
      </c>
      <c r="B5" s="30" t="inlineStr">
        <is>
          <t>Script and user variables, their definitions and whether they are expressions.</t>
        </is>
      </c>
    </row>
    <row r="6" ht="30" customHeight="1">
      <c r="A6" s="31" t="inlineStr">
        <is>
          <t>App</t>
        </is>
      </c>
      <c r="B6" s="31" t="inlineStr">
        <is>
          <t>Name</t>
        </is>
      </c>
      <c r="C6" s="31" t="inlineStr">
        <is>
          <t>Definition</t>
        </is>
      </c>
      <c r="D6" s="31" t="inlineStr">
        <is>
          <t>Comment</t>
        </is>
      </c>
      <c r="E6" s="31" t="inlineStr">
        <is>
          <t>Value</t>
        </is>
      </c>
      <c r="F6" s="31" t="inlineStr">
        <is>
          <t>Is expression (=)</t>
        </is>
      </c>
      <c r="G6" s="31" t="inlineStr">
        <is>
          <t>Script created</t>
        </is>
      </c>
      <c r="H6" s="31" t="inlineStr">
        <is>
          <t>List</t>
        </is>
      </c>
      <c r="I6" s="31" t="inlineStr">
        <is>
          <t>ID</t>
        </is>
      </c>
      <c r="J6" s="31" t="inlineStr">
        <is>
          <t>Found by</t>
        </is>
      </c>
    </row>
    <row r="7">
      <c r="A7" s="32" t="inlineStr">
        <is>
          <t>Executive Dashboard</t>
        </is>
      </c>
      <c r="B7" s="32" t="inlineStr">
        <is>
          <t>CD</t>
        </is>
      </c>
      <c r="C7" s="42" t="inlineStr">
        <is>
          <t>D:</t>
        </is>
      </c>
      <c r="D7" s="42" t="inlineStr"/>
      <c r="E7" s="32" t="inlineStr">
        <is>
          <t>NaN</t>
        </is>
      </c>
      <c r="F7" s="32" t="inlineStr">
        <is>
          <t>No</t>
        </is>
      </c>
      <c r="G7" s="32" t="inlineStr">
        <is>
          <t>Yes</t>
        </is>
      </c>
      <c r="H7" s="32" t="inlineStr">
        <is>
          <t>qvapp_variablelist</t>
        </is>
      </c>
      <c r="I7" s="32" t="inlineStr">
        <is>
          <t>8ebc9e1d-55c2-453f-8e61-1f5e86abb831</t>
        </is>
      </c>
      <c r="J7" s="32" t="inlineStr">
        <is>
          <t>qvf-app</t>
        </is>
      </c>
    </row>
    <row r="8">
      <c r="A8" s="37" t="inlineStr">
        <is>
          <t>Executive Dashboard</t>
        </is>
      </c>
      <c r="B8" s="37" t="inlineStr">
        <is>
          <t>QvPath</t>
        </is>
      </c>
      <c r="C8" s="43" t="inlineStr">
        <is>
          <t>C:\Users\cbo\Downloads</t>
        </is>
      </c>
      <c r="D8" s="43" t="inlineStr"/>
      <c r="E8" s="37" t="inlineStr">
        <is>
          <t>NaN</t>
        </is>
      </c>
      <c r="F8" s="37" t="inlineStr">
        <is>
          <t>No</t>
        </is>
      </c>
      <c r="G8" s="37" t="inlineStr">
        <is>
          <t>Yes</t>
        </is>
      </c>
      <c r="H8" s="37" t="inlineStr">
        <is>
          <t>qvapp_variablelist</t>
        </is>
      </c>
      <c r="I8" s="37" t="inlineStr">
        <is>
          <t>746b2cd9-ce56-49a4-8bc5-76bb7c6dd788</t>
        </is>
      </c>
      <c r="J8" s="37" t="inlineStr">
        <is>
          <t>qvf-app</t>
        </is>
      </c>
    </row>
    <row r="9">
      <c r="A9" s="32" t="inlineStr">
        <is>
          <t>Executive Dashboard</t>
        </is>
      </c>
      <c r="B9" s="32" t="inlineStr">
        <is>
          <t>QvRoot</t>
        </is>
      </c>
      <c r="C9" s="42" t="inlineStr">
        <is>
          <t>C:</t>
        </is>
      </c>
      <c r="D9" s="42" t="inlineStr"/>
      <c r="E9" s="32" t="inlineStr">
        <is>
          <t>NaN</t>
        </is>
      </c>
      <c r="F9" s="32" t="inlineStr">
        <is>
          <t>No</t>
        </is>
      </c>
      <c r="G9" s="32" t="inlineStr">
        <is>
          <t>Yes</t>
        </is>
      </c>
      <c r="H9" s="32" t="inlineStr">
        <is>
          <t>qvapp_variablelist</t>
        </is>
      </c>
      <c r="I9" s="32" t="inlineStr">
        <is>
          <t>3ceede56-2ab6-46fa-a484-5e24ba7397c3</t>
        </is>
      </c>
      <c r="J9" s="32" t="inlineStr">
        <is>
          <t>qvf-app</t>
        </is>
      </c>
    </row>
    <row r="10">
      <c r="A10" s="37" t="inlineStr">
        <is>
          <t>Executive Dashboard</t>
        </is>
      </c>
      <c r="B10" s="37" t="inlineStr">
        <is>
          <t>QvWorkPath</t>
        </is>
      </c>
      <c r="C10" s="43" t="inlineStr">
        <is>
          <t>C:/Users/cbo/Documents/Qlik/QlikView/Apps</t>
        </is>
      </c>
      <c r="D10" s="43" t="inlineStr"/>
      <c r="E10" s="37" t="inlineStr">
        <is>
          <t>NaN</t>
        </is>
      </c>
      <c r="F10" s="37" t="inlineStr">
        <is>
          <t>No</t>
        </is>
      </c>
      <c r="G10" s="37" t="inlineStr">
        <is>
          <t>Yes</t>
        </is>
      </c>
      <c r="H10" s="37" t="inlineStr">
        <is>
          <t>qvapp_variablelist</t>
        </is>
      </c>
      <c r="I10" s="37" t="inlineStr">
        <is>
          <t>9d1ea17f-279e-4027-8d70-efb768ada910</t>
        </is>
      </c>
      <c r="J10" s="37" t="inlineStr">
        <is>
          <t>qvf-app</t>
        </is>
      </c>
    </row>
    <row r="11">
      <c r="A11" s="32" t="inlineStr">
        <is>
          <t>Executive Dashboard</t>
        </is>
      </c>
      <c r="B11" s="32" t="inlineStr">
        <is>
          <t>QvWorkRoot</t>
        </is>
      </c>
      <c r="C11" s="42" t="inlineStr">
        <is>
          <t>C:</t>
        </is>
      </c>
      <c r="D11" s="42" t="inlineStr"/>
      <c r="E11" s="32" t="inlineStr">
        <is>
          <t>NaN</t>
        </is>
      </c>
      <c r="F11" s="32" t="inlineStr">
        <is>
          <t>No</t>
        </is>
      </c>
      <c r="G11" s="32" t="inlineStr">
        <is>
          <t>Yes</t>
        </is>
      </c>
      <c r="H11" s="32" t="inlineStr">
        <is>
          <t>qvapp_variablelist</t>
        </is>
      </c>
      <c r="I11" s="32" t="inlineStr">
        <is>
          <t>1fff8abb-95e0-472b-9df7-6b425ed931eb</t>
        </is>
      </c>
      <c r="J11" s="32" t="inlineStr">
        <is>
          <t>qvf-app</t>
        </is>
      </c>
    </row>
    <row r="12">
      <c r="A12" s="37" t="inlineStr">
        <is>
          <t>Executive Dashboard</t>
        </is>
      </c>
      <c r="B12" s="37" t="inlineStr">
        <is>
          <t>WinPath</t>
        </is>
      </c>
      <c r="C12" s="43" t="inlineStr">
        <is>
          <t>C:\Windows</t>
        </is>
      </c>
      <c r="D12" s="43" t="inlineStr"/>
      <c r="E12" s="37" t="inlineStr">
        <is>
          <t>NaN</t>
        </is>
      </c>
      <c r="F12" s="37" t="inlineStr">
        <is>
          <t>No</t>
        </is>
      </c>
      <c r="G12" s="37" t="inlineStr">
        <is>
          <t>Yes</t>
        </is>
      </c>
      <c r="H12" s="37" t="inlineStr">
        <is>
          <t>qvapp_variablelist</t>
        </is>
      </c>
      <c r="I12" s="37" t="inlineStr">
        <is>
          <t>8a7d43e5-a38e-492f-bdad-e722c5b36285</t>
        </is>
      </c>
      <c r="J12" s="37" t="inlineStr">
        <is>
          <t>qvf-app</t>
        </is>
      </c>
    </row>
    <row r="13">
      <c r="A13" s="32" t="inlineStr">
        <is>
          <t>Executive Dashboard</t>
        </is>
      </c>
      <c r="B13" s="32" t="inlineStr">
        <is>
          <t>WinRoot</t>
        </is>
      </c>
      <c r="C13" s="42" t="inlineStr">
        <is>
          <t>C:</t>
        </is>
      </c>
      <c r="D13" s="42" t="inlineStr"/>
      <c r="E13" s="32" t="inlineStr">
        <is>
          <t>NaN</t>
        </is>
      </c>
      <c r="F13" s="32" t="inlineStr">
        <is>
          <t>No</t>
        </is>
      </c>
      <c r="G13" s="32" t="inlineStr">
        <is>
          <t>Yes</t>
        </is>
      </c>
      <c r="H13" s="32" t="inlineStr">
        <is>
          <t>qvapp_variablelist</t>
        </is>
      </c>
      <c r="I13" s="32" t="inlineStr">
        <is>
          <t>52aa1e48-8073-4734-a953-555e898549a0</t>
        </is>
      </c>
      <c r="J13" s="32" t="inlineStr">
        <is>
          <t>qvf-app</t>
        </is>
      </c>
    </row>
    <row r="14">
      <c r="A14" s="37" t="inlineStr">
        <is>
          <t>Executive Dashboard</t>
        </is>
      </c>
      <c r="B14" s="37" t="inlineStr">
        <is>
          <t>ErrorMode</t>
        </is>
      </c>
      <c r="C14" s="43" t="inlineStr"/>
      <c r="D14" s="43" t="inlineStr"/>
      <c r="E14" s="39" t="n">
        <v>1</v>
      </c>
      <c r="F14" s="37" t="inlineStr">
        <is>
          <t>No</t>
        </is>
      </c>
      <c r="G14" s="37" t="inlineStr">
        <is>
          <t>Yes</t>
        </is>
      </c>
      <c r="H14" s="37" t="inlineStr">
        <is>
          <t>qvapp_variablelist</t>
        </is>
      </c>
      <c r="I14" s="37" t="inlineStr">
        <is>
          <t>bcee93bf-0c51-4542-acc1-049e6bba0655</t>
        </is>
      </c>
      <c r="J14" s="37" t="inlineStr">
        <is>
          <t>qvf-app</t>
        </is>
      </c>
    </row>
    <row r="15">
      <c r="A15" s="32" t="inlineStr">
        <is>
          <t>Executive Dashboard</t>
        </is>
      </c>
      <c r="B15" s="32" t="inlineStr">
        <is>
          <t>StripComments</t>
        </is>
      </c>
      <c r="C15" s="42" t="inlineStr"/>
      <c r="D15" s="42" t="inlineStr"/>
      <c r="E15" s="34" t="n">
        <v>1</v>
      </c>
      <c r="F15" s="32" t="inlineStr">
        <is>
          <t>No</t>
        </is>
      </c>
      <c r="G15" s="32" t="inlineStr">
        <is>
          <t>Yes</t>
        </is>
      </c>
      <c r="H15" s="32" t="inlineStr">
        <is>
          <t>qvapp_variablelist</t>
        </is>
      </c>
      <c r="I15" s="32" t="inlineStr">
        <is>
          <t>216bafe6-fe53-4fd0-acef-ebd0e10ed759</t>
        </is>
      </c>
      <c r="J15" s="32" t="inlineStr">
        <is>
          <t>qvf-app</t>
        </is>
      </c>
    </row>
    <row r="16">
      <c r="A16" s="37" t="inlineStr">
        <is>
          <t>Executive Dashboard</t>
        </is>
      </c>
      <c r="B16" s="37" t="inlineStr">
        <is>
          <t>OpenUrlTimeout</t>
        </is>
      </c>
      <c r="C16" s="43" t="inlineStr"/>
      <c r="D16" s="43" t="inlineStr"/>
      <c r="E16" s="39" t="n">
        <v>86400</v>
      </c>
      <c r="F16" s="37" t="inlineStr">
        <is>
          <t>No</t>
        </is>
      </c>
      <c r="G16" s="37" t="inlineStr">
        <is>
          <t>Yes</t>
        </is>
      </c>
      <c r="H16" s="37" t="inlineStr">
        <is>
          <t>qvapp_variablelist</t>
        </is>
      </c>
      <c r="I16" s="37" t="inlineStr">
        <is>
          <t>9ed380d2-e9d5-4419-9486-d497be948e37</t>
        </is>
      </c>
      <c r="J16" s="37" t="inlineStr">
        <is>
          <t>qvf-app</t>
        </is>
      </c>
    </row>
    <row r="17">
      <c r="A17" s="32" t="inlineStr">
        <is>
          <t>Executive Dashboard</t>
        </is>
      </c>
      <c r="B17" s="32" t="inlineStr">
        <is>
          <t>ScriptErrorCount</t>
        </is>
      </c>
      <c r="C17" s="42" t="inlineStr">
        <is>
          <t>0</t>
        </is>
      </c>
      <c r="D17" s="42" t="inlineStr"/>
      <c r="E17" s="34" t="n">
        <v>0</v>
      </c>
      <c r="F17" s="32" t="inlineStr">
        <is>
          <t>No</t>
        </is>
      </c>
      <c r="G17" s="32" t="inlineStr">
        <is>
          <t>Yes</t>
        </is>
      </c>
      <c r="H17" s="32" t="inlineStr">
        <is>
          <t>qvapp_variablelist</t>
        </is>
      </c>
      <c r="I17" s="32" t="inlineStr">
        <is>
          <t>850fa7eb-68af-44a3-8bf7-eaeadfdd42d2</t>
        </is>
      </c>
      <c r="J17" s="32" t="inlineStr">
        <is>
          <t>qvf-app</t>
        </is>
      </c>
    </row>
    <row r="18">
      <c r="A18" s="37" t="inlineStr">
        <is>
          <t>Executive Dashboard</t>
        </is>
      </c>
      <c r="B18" s="37" t="inlineStr">
        <is>
          <t>ScriptErrorList</t>
        </is>
      </c>
      <c r="C18" s="43" t="inlineStr"/>
      <c r="D18" s="43" t="inlineStr"/>
      <c r="E18" s="37" t="inlineStr">
        <is>
          <t>NaN</t>
        </is>
      </c>
      <c r="F18" s="37" t="inlineStr">
        <is>
          <t>No</t>
        </is>
      </c>
      <c r="G18" s="37" t="inlineStr">
        <is>
          <t>Yes</t>
        </is>
      </c>
      <c r="H18" s="37" t="inlineStr">
        <is>
          <t>qvapp_variablelist</t>
        </is>
      </c>
      <c r="I18" s="37" t="inlineStr">
        <is>
          <t>39193e79-7c97-4d9c-b90d-bcf1ebbe7bf0</t>
        </is>
      </c>
      <c r="J18" s="37" t="inlineStr">
        <is>
          <t>qvf-app</t>
        </is>
      </c>
    </row>
    <row r="19">
      <c r="A19" s="32" t="inlineStr">
        <is>
          <t>Executive Dashboard</t>
        </is>
      </c>
      <c r="B19" s="32" t="inlineStr">
        <is>
          <t>ScriptError</t>
        </is>
      </c>
      <c r="C19" s="42" t="inlineStr"/>
      <c r="D19" s="42" t="inlineStr"/>
      <c r="E19" s="34" t="n">
        <v>0</v>
      </c>
      <c r="F19" s="32" t="inlineStr">
        <is>
          <t>No</t>
        </is>
      </c>
      <c r="G19" s="32" t="inlineStr">
        <is>
          <t>Yes</t>
        </is>
      </c>
      <c r="H19" s="32" t="inlineStr">
        <is>
          <t>qvapp_variablelist</t>
        </is>
      </c>
      <c r="I19" s="32" t="inlineStr">
        <is>
          <t>1ec56f5d-a22e-4608-a045-9f492fd2db75</t>
        </is>
      </c>
      <c r="J19" s="32" t="inlineStr">
        <is>
          <t>qvf-app</t>
        </is>
      </c>
    </row>
    <row r="20">
      <c r="A20" s="37" t="inlineStr">
        <is>
          <t>Executive Dashboard</t>
        </is>
      </c>
      <c r="B20" s="37" t="inlineStr">
        <is>
          <t>ThousandSep</t>
        </is>
      </c>
      <c r="C20" s="43" t="inlineStr">
        <is>
          <t>,</t>
        </is>
      </c>
      <c r="D20" s="43" t="inlineStr"/>
      <c r="E20" s="37" t="inlineStr">
        <is>
          <t>NaN</t>
        </is>
      </c>
      <c r="F20" s="37" t="inlineStr">
        <is>
          <t>No</t>
        </is>
      </c>
      <c r="G20" s="37" t="inlineStr">
        <is>
          <t>Yes</t>
        </is>
      </c>
      <c r="H20" s="37" t="inlineStr">
        <is>
          <t>qvapp_variablelist</t>
        </is>
      </c>
      <c r="I20" s="37" t="inlineStr">
        <is>
          <t>747f56fa-948a-45a1-95f8-2b1f4551366c</t>
        </is>
      </c>
      <c r="J20" s="37" t="inlineStr">
        <is>
          <t>qvf-app</t>
        </is>
      </c>
    </row>
    <row r="21">
      <c r="A21" s="32" t="inlineStr">
        <is>
          <t>Executive Dashboard</t>
        </is>
      </c>
      <c r="B21" s="32" t="inlineStr">
        <is>
          <t>DecimalSep</t>
        </is>
      </c>
      <c r="C21" s="42" t="inlineStr">
        <is>
          <t>.</t>
        </is>
      </c>
      <c r="D21" s="42" t="inlineStr"/>
      <c r="E21" s="32" t="inlineStr">
        <is>
          <t>NaN</t>
        </is>
      </c>
      <c r="F21" s="32" t="inlineStr">
        <is>
          <t>No</t>
        </is>
      </c>
      <c r="G21" s="32" t="inlineStr">
        <is>
          <t>Yes</t>
        </is>
      </c>
      <c r="H21" s="32" t="inlineStr">
        <is>
          <t>qvapp_variablelist</t>
        </is>
      </c>
      <c r="I21" s="32" t="inlineStr">
        <is>
          <t>c85be7aa-6b92-4e86-bbb2-31d344d69267</t>
        </is>
      </c>
      <c r="J21" s="32" t="inlineStr">
        <is>
          <t>qvf-app</t>
        </is>
      </c>
    </row>
    <row r="22">
      <c r="A22" s="37" t="inlineStr">
        <is>
          <t>Executive Dashboard</t>
        </is>
      </c>
      <c r="B22" s="37" t="inlineStr">
        <is>
          <t>MoneyThousandSep</t>
        </is>
      </c>
      <c r="C22" s="43" t="inlineStr">
        <is>
          <t>,</t>
        </is>
      </c>
      <c r="D22" s="43" t="inlineStr"/>
      <c r="E22" s="37" t="inlineStr">
        <is>
          <t>NaN</t>
        </is>
      </c>
      <c r="F22" s="37" t="inlineStr">
        <is>
          <t>No</t>
        </is>
      </c>
      <c r="G22" s="37" t="inlineStr">
        <is>
          <t>Yes</t>
        </is>
      </c>
      <c r="H22" s="37" t="inlineStr">
        <is>
          <t>qvapp_variablelist</t>
        </is>
      </c>
      <c r="I22" s="37" t="inlineStr">
        <is>
          <t>fd4da8fb-05ba-4cf9-af49-ab7a7a09cd21</t>
        </is>
      </c>
      <c r="J22" s="37" t="inlineStr">
        <is>
          <t>qvf-app</t>
        </is>
      </c>
    </row>
    <row r="23">
      <c r="A23" s="32" t="inlineStr">
        <is>
          <t>Executive Dashboard</t>
        </is>
      </c>
      <c r="B23" s="32" t="inlineStr">
        <is>
          <t>MoneyDecimalSep</t>
        </is>
      </c>
      <c r="C23" s="42" t="inlineStr">
        <is>
          <t>.</t>
        </is>
      </c>
      <c r="D23" s="42" t="inlineStr"/>
      <c r="E23" s="32" t="inlineStr">
        <is>
          <t>NaN</t>
        </is>
      </c>
      <c r="F23" s="32" t="inlineStr">
        <is>
          <t>No</t>
        </is>
      </c>
      <c r="G23" s="32" t="inlineStr">
        <is>
          <t>Yes</t>
        </is>
      </c>
      <c r="H23" s="32" t="inlineStr">
        <is>
          <t>qvapp_variablelist</t>
        </is>
      </c>
      <c r="I23" s="32" t="inlineStr">
        <is>
          <t>96ec746a-5f74-4243-86b7-28d9d0319184</t>
        </is>
      </c>
      <c r="J23" s="32" t="inlineStr">
        <is>
          <t>qvf-app</t>
        </is>
      </c>
    </row>
    <row r="24">
      <c r="A24" s="37" t="inlineStr">
        <is>
          <t>Executive Dashboard</t>
        </is>
      </c>
      <c r="B24" s="37" t="inlineStr">
        <is>
          <t>MoneyFormat</t>
        </is>
      </c>
      <c r="C24" s="43" t="inlineStr">
        <is>
          <t>$#,##0.00;($#,##0.00)</t>
        </is>
      </c>
      <c r="D24" s="43" t="inlineStr"/>
      <c r="E24" s="37" t="inlineStr">
        <is>
          <t>NaN</t>
        </is>
      </c>
      <c r="F24" s="37" t="inlineStr">
        <is>
          <t>No</t>
        </is>
      </c>
      <c r="G24" s="37" t="inlineStr">
        <is>
          <t>Yes</t>
        </is>
      </c>
      <c r="H24" s="37" t="inlineStr">
        <is>
          <t>qvapp_variablelist</t>
        </is>
      </c>
      <c r="I24" s="37" t="inlineStr">
        <is>
          <t>e48d23bd-2e5b-4ec4-a204-36c8a8e88f98</t>
        </is>
      </c>
      <c r="J24" s="37" t="inlineStr">
        <is>
          <t>qvf-app</t>
        </is>
      </c>
    </row>
    <row r="25">
      <c r="A25" s="32" t="inlineStr">
        <is>
          <t>Executive Dashboard</t>
        </is>
      </c>
      <c r="B25" s="32" t="inlineStr">
        <is>
          <t>TimeFormat</t>
        </is>
      </c>
      <c r="C25" s="42" t="inlineStr">
        <is>
          <t>h:mm:ss TT</t>
        </is>
      </c>
      <c r="D25" s="42" t="inlineStr"/>
      <c r="E25" s="32" t="inlineStr">
        <is>
          <t>NaN</t>
        </is>
      </c>
      <c r="F25" s="32" t="inlineStr">
        <is>
          <t>No</t>
        </is>
      </c>
      <c r="G25" s="32" t="inlineStr">
        <is>
          <t>Yes</t>
        </is>
      </c>
      <c r="H25" s="32" t="inlineStr">
        <is>
          <t>qvapp_variablelist</t>
        </is>
      </c>
      <c r="I25" s="32" t="inlineStr">
        <is>
          <t>1d9dad3c-fd6d-4db3-a668-c77d5526c4c5</t>
        </is>
      </c>
      <c r="J25" s="32" t="inlineStr">
        <is>
          <t>qvf-app</t>
        </is>
      </c>
    </row>
    <row r="26">
      <c r="A26" s="37" t="inlineStr">
        <is>
          <t>Executive Dashboard</t>
        </is>
      </c>
      <c r="B26" s="37" t="inlineStr">
        <is>
          <t>DateFormat</t>
        </is>
      </c>
      <c r="C26" s="43" t="inlineStr">
        <is>
          <t>M/D/YYYY</t>
        </is>
      </c>
      <c r="D26" s="43" t="inlineStr"/>
      <c r="E26" s="37" t="inlineStr">
        <is>
          <t>NaN</t>
        </is>
      </c>
      <c r="F26" s="37" t="inlineStr">
        <is>
          <t>No</t>
        </is>
      </c>
      <c r="G26" s="37" t="inlineStr">
        <is>
          <t>Yes</t>
        </is>
      </c>
      <c r="H26" s="37" t="inlineStr">
        <is>
          <t>qvapp_variablelist</t>
        </is>
      </c>
      <c r="I26" s="37" t="inlineStr">
        <is>
          <t>ac75b553-286a-4091-9aa6-ac9fef2d1202</t>
        </is>
      </c>
      <c r="J26" s="37" t="inlineStr">
        <is>
          <t>qvf-app</t>
        </is>
      </c>
    </row>
    <row r="27">
      <c r="A27" s="32" t="inlineStr">
        <is>
          <t>Executive Dashboard</t>
        </is>
      </c>
      <c r="B27" s="32" t="inlineStr">
        <is>
          <t>TimestampFormat</t>
        </is>
      </c>
      <c r="C27" s="42" t="inlineStr">
        <is>
          <t>M/D/YYYY h:mm:ss[.fff] TT</t>
        </is>
      </c>
      <c r="D27" s="42" t="inlineStr"/>
      <c r="E27" s="32" t="inlineStr">
        <is>
          <t>NaN</t>
        </is>
      </c>
      <c r="F27" s="32" t="inlineStr">
        <is>
          <t>No</t>
        </is>
      </c>
      <c r="G27" s="32" t="inlineStr">
        <is>
          <t>Yes</t>
        </is>
      </c>
      <c r="H27" s="32" t="inlineStr">
        <is>
          <t>qvapp_variablelist</t>
        </is>
      </c>
      <c r="I27" s="32" t="inlineStr">
        <is>
          <t>3cafd7e3-8a17-4a71-acdb-dc0a3bee4ee3</t>
        </is>
      </c>
      <c r="J27" s="32" t="inlineStr">
        <is>
          <t>qvf-app</t>
        </is>
      </c>
    </row>
    <row r="28">
      <c r="A28" s="37" t="inlineStr">
        <is>
          <t>Executive Dashboard</t>
        </is>
      </c>
      <c r="B28" s="37" t="inlineStr">
        <is>
          <t>MonthNames</t>
        </is>
      </c>
      <c r="C28" s="43" t="inlineStr">
        <is>
          <t>Jan;Feb;Mar;Apr;May;Jun;Jul;Aug;Sep;Oct;Nov;Dec</t>
        </is>
      </c>
      <c r="D28" s="43" t="inlineStr"/>
      <c r="E28" s="37" t="inlineStr">
        <is>
          <t>NaN</t>
        </is>
      </c>
      <c r="F28" s="37" t="inlineStr">
        <is>
          <t>No</t>
        </is>
      </c>
      <c r="G28" s="37" t="inlineStr">
        <is>
          <t>Yes</t>
        </is>
      </c>
      <c r="H28" s="37" t="inlineStr">
        <is>
          <t>qvapp_variablelist</t>
        </is>
      </c>
      <c r="I28" s="37" t="inlineStr">
        <is>
          <t>d5467aca-f106-4b10-9ff0-6ac2327f8336</t>
        </is>
      </c>
      <c r="J28" s="37" t="inlineStr">
        <is>
          <t>qvf-app</t>
        </is>
      </c>
    </row>
    <row r="29">
      <c r="A29" s="32" t="inlineStr">
        <is>
          <t>Executive Dashboard</t>
        </is>
      </c>
      <c r="B29" s="32" t="inlineStr">
        <is>
          <t>DayNames</t>
        </is>
      </c>
      <c r="C29" s="42" t="inlineStr">
        <is>
          <t>Mon;Tue;Wed;Thu;Fri;Sat;Sun</t>
        </is>
      </c>
      <c r="D29" s="42" t="inlineStr"/>
      <c r="E29" s="32" t="inlineStr">
        <is>
          <t>NaN</t>
        </is>
      </c>
      <c r="F29" s="32" t="inlineStr">
        <is>
          <t>No</t>
        </is>
      </c>
      <c r="G29" s="32" t="inlineStr">
        <is>
          <t>Yes</t>
        </is>
      </c>
      <c r="H29" s="32" t="inlineStr">
        <is>
          <t>qvapp_variablelist</t>
        </is>
      </c>
      <c r="I29" s="32" t="inlineStr">
        <is>
          <t>70e078d5-9a3a-4a94-aa3c-d1753e4fa102</t>
        </is>
      </c>
      <c r="J29" s="32" t="inlineStr">
        <is>
          <t>qvf-app</t>
        </is>
      </c>
    </row>
    <row r="30">
      <c r="A30" s="37" t="inlineStr">
        <is>
          <t>Executive Dashboard</t>
        </is>
      </c>
      <c r="B30" s="37" t="inlineStr">
        <is>
          <t>vCurrentMonthNum</t>
        </is>
      </c>
      <c r="C30" s="43" t="inlineStr">
        <is>
          <t>5</t>
        </is>
      </c>
      <c r="D30" s="43" t="inlineStr"/>
      <c r="E30" s="39" t="n">
        <v>5</v>
      </c>
      <c r="F30" s="37" t="inlineStr">
        <is>
          <t>No</t>
        </is>
      </c>
      <c r="G30" s="37" t="inlineStr">
        <is>
          <t>Yes</t>
        </is>
      </c>
      <c r="H30" s="37" t="inlineStr">
        <is>
          <t>qvapp_variablelist</t>
        </is>
      </c>
      <c r="I30" s="37" t="inlineStr">
        <is>
          <t>f8d38860-b6dc-4ba4-9bdb-3f026b24b459</t>
        </is>
      </c>
      <c r="J30" s="37" t="inlineStr">
        <is>
          <t>qvf-app</t>
        </is>
      </c>
    </row>
    <row r="31">
      <c r="A31" s="32" t="inlineStr">
        <is>
          <t>Executive Dashboard</t>
        </is>
      </c>
      <c r="B31" s="32" t="inlineStr">
        <is>
          <t>vCurrentMonth</t>
        </is>
      </c>
      <c r="C31" s="42" t="inlineStr">
        <is>
          <t>May</t>
        </is>
      </c>
      <c r="D31" s="42" t="inlineStr"/>
      <c r="E31" s="34" t="n">
        <v>5</v>
      </c>
      <c r="F31" s="32" t="inlineStr">
        <is>
          <t>No</t>
        </is>
      </c>
      <c r="G31" s="32" t="inlineStr">
        <is>
          <t>Yes</t>
        </is>
      </c>
      <c r="H31" s="32" t="inlineStr">
        <is>
          <t>qvapp_variablelist</t>
        </is>
      </c>
      <c r="I31" s="32" t="inlineStr">
        <is>
          <t>b29854c2-53e2-47ad-8608-b987a1c55acf</t>
        </is>
      </c>
      <c r="J31" s="32" t="inlineStr">
        <is>
          <t>qvf-app</t>
        </is>
      </c>
    </row>
    <row r="32">
      <c r="A32" s="37" t="inlineStr">
        <is>
          <t>Executive Dashboard</t>
        </is>
      </c>
      <c r="B32" s="37" t="inlineStr">
        <is>
          <t>vCurrentYear</t>
        </is>
      </c>
      <c r="C32" s="43" t="inlineStr">
        <is>
          <t>2013</t>
        </is>
      </c>
      <c r="D32" s="43" t="inlineStr"/>
      <c r="E32" s="39" t="n">
        <v>2013</v>
      </c>
      <c r="F32" s="37" t="inlineStr">
        <is>
          <t>No</t>
        </is>
      </c>
      <c r="G32" s="37" t="inlineStr">
        <is>
          <t>Yes</t>
        </is>
      </c>
      <c r="H32" s="37" t="inlineStr">
        <is>
          <t>qvapp_variablelist</t>
        </is>
      </c>
      <c r="I32" s="37" t="inlineStr">
        <is>
          <t>3e6785f5-f438-4f7b-b005-989de7a63a19</t>
        </is>
      </c>
      <c r="J32" s="37" t="inlineStr">
        <is>
          <t>qvf-app</t>
        </is>
      </c>
    </row>
    <row r="33">
      <c r="A33" s="32" t="inlineStr">
        <is>
          <t>Executive Dashboard</t>
        </is>
      </c>
      <c r="B33" s="32" t="inlineStr">
        <is>
          <t>vTodaysDate</t>
        </is>
      </c>
      <c r="C33" s="42" t="inlineStr">
        <is>
          <t>41425</t>
        </is>
      </c>
      <c r="D33" s="42" t="inlineStr"/>
      <c r="E33" s="34" t="n">
        <v>41425</v>
      </c>
      <c r="F33" s="32" t="inlineStr">
        <is>
          <t>No</t>
        </is>
      </c>
      <c r="G33" s="32" t="inlineStr">
        <is>
          <t>Yes</t>
        </is>
      </c>
      <c r="H33" s="32" t="inlineStr">
        <is>
          <t>qvapp_variablelist</t>
        </is>
      </c>
      <c r="I33" s="32" t="inlineStr">
        <is>
          <t>3f8db8c7-ceda-4958-93fe-ced25544a097</t>
        </is>
      </c>
      <c r="J33" s="32" t="inlineStr">
        <is>
          <t>qvf-app</t>
        </is>
      </c>
    </row>
    <row r="34">
      <c r="A34" s="37" t="inlineStr">
        <is>
          <t>Executive Dashboard</t>
        </is>
      </c>
      <c r="B34" s="37" t="inlineStr">
        <is>
          <t>v12month</t>
        </is>
      </c>
      <c r="C34" s="43" t="inlineStr">
        <is>
          <t>41060</t>
        </is>
      </c>
      <c r="D34" s="43" t="inlineStr"/>
      <c r="E34" s="39" t="n">
        <v>41060</v>
      </c>
      <c r="F34" s="37" t="inlineStr">
        <is>
          <t>No</t>
        </is>
      </c>
      <c r="G34" s="37" t="inlineStr">
        <is>
          <t>Yes</t>
        </is>
      </c>
      <c r="H34" s="37" t="inlineStr">
        <is>
          <t>qvapp_variablelist</t>
        </is>
      </c>
      <c r="I34" s="37" t="inlineStr">
        <is>
          <t>fabd907b-6a19-4942-9e35-41c1804959ba</t>
        </is>
      </c>
      <c r="J34" s="37" t="inlineStr">
        <is>
          <t>qvf-app</t>
        </is>
      </c>
    </row>
    <row r="35">
      <c r="A35" s="32" t="inlineStr">
        <is>
          <t>Executive Dashboard</t>
        </is>
      </c>
      <c r="B35" s="32" t="inlineStr">
        <is>
          <t>vRolling12months</t>
        </is>
      </c>
      <c r="C35" s="42" t="inlineStr">
        <is>
          <t>41060</t>
        </is>
      </c>
      <c r="D35" s="42" t="inlineStr"/>
      <c r="E35" s="34" t="n">
        <v>41060</v>
      </c>
      <c r="F35" s="32" t="inlineStr">
        <is>
          <t>No</t>
        </is>
      </c>
      <c r="G35" s="32" t="inlineStr">
        <is>
          <t>Yes</t>
        </is>
      </c>
      <c r="H35" s="32" t="inlineStr">
        <is>
          <t>qvapp_variablelist</t>
        </is>
      </c>
      <c r="I35" s="32" t="inlineStr">
        <is>
          <t>88fda23d-b35e-490e-b6ff-98171e3a7ea6</t>
        </is>
      </c>
      <c r="J35" s="32" t="inlineStr">
        <is>
          <t>qvf-app</t>
        </is>
      </c>
    </row>
    <row r="36">
      <c r="A36" s="37" t="inlineStr">
        <is>
          <t>Executive Dashboard</t>
        </is>
      </c>
      <c r="B36" s="37" t="inlineStr">
        <is>
          <t>vOldDate</t>
        </is>
      </c>
      <c r="C36" s="43" t="inlineStr">
        <is>
          <t>41425</t>
        </is>
      </c>
      <c r="D36" s="43" t="inlineStr"/>
      <c r="E36" s="39" t="n">
        <v>41425</v>
      </c>
      <c r="F36" s="37" t="inlineStr">
        <is>
          <t>No</t>
        </is>
      </c>
      <c r="G36" s="37" t="inlineStr">
        <is>
          <t>Yes</t>
        </is>
      </c>
      <c r="H36" s="37" t="inlineStr">
        <is>
          <t>qvapp_variablelist</t>
        </is>
      </c>
      <c r="I36" s="37" t="inlineStr">
        <is>
          <t>cf8d6274-feb7-4200-a2fc-855f8ad20015</t>
        </is>
      </c>
      <c r="J36" s="37" t="inlineStr">
        <is>
          <t>qvf-app</t>
        </is>
      </c>
    </row>
    <row r="37">
      <c r="A37" s="32" t="inlineStr">
        <is>
          <t>Executive Dashboard</t>
        </is>
      </c>
      <c r="B37" s="32" t="inlineStr">
        <is>
          <t>vToday</t>
        </is>
      </c>
      <c r="C37" s="42" t="inlineStr">
        <is>
          <t>5/31/2013</t>
        </is>
      </c>
      <c r="D37" s="42" t="inlineStr"/>
      <c r="E37" s="34" t="n">
        <v>41425</v>
      </c>
      <c r="F37" s="32" t="inlineStr">
        <is>
          <t>No</t>
        </is>
      </c>
      <c r="G37" s="32" t="inlineStr">
        <is>
          <t>Yes</t>
        </is>
      </c>
      <c r="H37" s="32" t="inlineStr">
        <is>
          <t>qvapp_variablelist</t>
        </is>
      </c>
      <c r="I37" s="32" t="inlineStr">
        <is>
          <t>4f515b4b-09de-4c87-8e6f-13dffc627264</t>
        </is>
      </c>
      <c r="J37" s="32" t="inlineStr">
        <is>
          <t>qvf-app</t>
        </is>
      </c>
    </row>
    <row r="38">
      <c r="A38" s="37" t="inlineStr">
        <is>
          <t>Executive Dashboard</t>
        </is>
      </c>
      <c r="B38" s="37" t="inlineStr">
        <is>
          <t>vAdjDays</t>
        </is>
      </c>
      <c r="C38" s="43" t="inlineStr">
        <is>
          <t>0</t>
        </is>
      </c>
      <c r="D38" s="43" t="inlineStr"/>
      <c r="E38" s="39" t="n">
        <v>0</v>
      </c>
      <c r="F38" s="37" t="inlineStr">
        <is>
          <t>No</t>
        </is>
      </c>
      <c r="G38" s="37" t="inlineStr">
        <is>
          <t>Yes</t>
        </is>
      </c>
      <c r="H38" s="37" t="inlineStr">
        <is>
          <t>qvapp_variablelist</t>
        </is>
      </c>
      <c r="I38" s="37" t="inlineStr">
        <is>
          <t>b86c7e8a-a66a-42f2-9b60-779b2324c337</t>
        </is>
      </c>
      <c r="J38" s="37" t="inlineStr">
        <is>
          <t>qvf-app</t>
        </is>
      </c>
    </row>
    <row r="39">
      <c r="A39" s="32" t="inlineStr">
        <is>
          <t>Executive Dashboard</t>
        </is>
      </c>
      <c r="B39" s="32" t="inlineStr">
        <is>
          <t>vVolume</t>
        </is>
      </c>
      <c r="C39" s="42" t="inlineStr">
        <is>
          <t>0</t>
        </is>
      </c>
      <c r="D39" s="42" t="inlineStr"/>
      <c r="E39" s="34" t="n">
        <v>0</v>
      </c>
      <c r="F39" s="32" t="inlineStr">
        <is>
          <t>No</t>
        </is>
      </c>
      <c r="G39" s="32" t="inlineStr">
        <is>
          <t>Yes</t>
        </is>
      </c>
      <c r="H39" s="32" t="inlineStr">
        <is>
          <t>qvapp_variablelist</t>
        </is>
      </c>
      <c r="I39" s="32" t="inlineStr">
        <is>
          <t>eaf3c994-9fc5-4f8e-936d-283ee267c424</t>
        </is>
      </c>
      <c r="J39" s="32" t="inlineStr">
        <is>
          <t>qvf-app</t>
        </is>
      </c>
    </row>
    <row r="40">
      <c r="A40" s="37" t="inlineStr">
        <is>
          <t>Executive Dashboard</t>
        </is>
      </c>
      <c r="B40" s="37" t="inlineStr">
        <is>
          <t>vPrice</t>
        </is>
      </c>
      <c r="C40" s="43" t="inlineStr">
        <is>
          <t>1</t>
        </is>
      </c>
      <c r="D40" s="43" t="inlineStr"/>
      <c r="E40" s="39" t="n">
        <v>1</v>
      </c>
      <c r="F40" s="37" t="inlineStr">
        <is>
          <t>No</t>
        </is>
      </c>
      <c r="G40" s="37" t="inlineStr">
        <is>
          <t>Yes</t>
        </is>
      </c>
      <c r="H40" s="37" t="inlineStr">
        <is>
          <t>qvapp_variablelist</t>
        </is>
      </c>
      <c r="I40" s="37" t="inlineStr">
        <is>
          <t>64490398-338b-4c9a-8804-e4881fea735e</t>
        </is>
      </c>
      <c r="J40" s="37" t="inlineStr">
        <is>
          <t>qvf-app</t>
        </is>
      </c>
    </row>
    <row r="41">
      <c r="A41" s="32" t="inlineStr">
        <is>
          <t>Executive Dashboard</t>
        </is>
      </c>
      <c r="B41" s="32" t="inlineStr">
        <is>
          <t>vCost</t>
        </is>
      </c>
      <c r="C41" s="42" t="inlineStr">
        <is>
          <t>-2</t>
        </is>
      </c>
      <c r="D41" s="42" t="inlineStr"/>
      <c r="E41" s="34" t="n">
        <v>-2</v>
      </c>
      <c r="F41" s="32" t="inlineStr">
        <is>
          <t>No</t>
        </is>
      </c>
      <c r="G41" s="32" t="inlineStr">
        <is>
          <t>Yes</t>
        </is>
      </c>
      <c r="H41" s="32" t="inlineStr">
        <is>
          <t>qvapp_variablelist</t>
        </is>
      </c>
      <c r="I41" s="32" t="inlineStr">
        <is>
          <t>8ae837ce-5c7c-41dc-9695-779d50787b44</t>
        </is>
      </c>
      <c r="J41" s="32" t="inlineStr">
        <is>
          <t>qvf-app</t>
        </is>
      </c>
    </row>
    <row r="42">
      <c r="A42" s="37" t="inlineStr">
        <is>
          <t>Executive Dashboard</t>
        </is>
      </c>
      <c r="B42" s="37" t="inlineStr">
        <is>
          <t>vShowChart</t>
        </is>
      </c>
      <c r="C42" s="43" t="inlineStr">
        <is>
          <t>1</t>
        </is>
      </c>
      <c r="D42" s="43" t="inlineStr"/>
      <c r="E42" s="39" t="n">
        <v>1</v>
      </c>
      <c r="F42" s="37" t="inlineStr">
        <is>
          <t>No</t>
        </is>
      </c>
      <c r="G42" s="37" t="inlineStr">
        <is>
          <t>Yes</t>
        </is>
      </c>
      <c r="H42" s="37" t="inlineStr">
        <is>
          <t>qvapp_variablelist</t>
        </is>
      </c>
      <c r="I42" s="37" t="inlineStr">
        <is>
          <t>1efc7ea9-a4e5-49c3-9eb4-5c6baeabf968</t>
        </is>
      </c>
      <c r="J42" s="37" t="inlineStr">
        <is>
          <t>qvf-app</t>
        </is>
      </c>
    </row>
    <row r="43">
      <c r="A43" s="32" t="inlineStr">
        <is>
          <t>Executive Dashboard</t>
        </is>
      </c>
      <c r="B43" s="32" t="inlineStr">
        <is>
          <t>vTargetSales</t>
        </is>
      </c>
      <c r="C43" s="42" t="inlineStr">
        <is>
          <t>=sum([Budget Amount])</t>
        </is>
      </c>
      <c r="D43" s="42" t="inlineStr"/>
      <c r="E43" s="32" t="inlineStr">
        <is>
          <t>NaN</t>
        </is>
      </c>
      <c r="F43" s="32" t="inlineStr">
        <is>
          <t>Yes</t>
        </is>
      </c>
      <c r="G43" s="32" t="inlineStr">
        <is>
          <t>Yes</t>
        </is>
      </c>
      <c r="H43" s="32" t="inlineStr">
        <is>
          <t>qvapp_variablelist</t>
        </is>
      </c>
      <c r="I43" s="32" t="inlineStr">
        <is>
          <t>17718c1a-9592-424b-84dd-14b579e6cd1d</t>
        </is>
      </c>
      <c r="J43" s="32" t="inlineStr">
        <is>
          <t>qvf-app</t>
        </is>
      </c>
    </row>
    <row r="44">
      <c r="A44" s="37" t="inlineStr">
        <is>
          <t>Executive Dashboard</t>
        </is>
      </c>
      <c r="B44" s="37" t="inlineStr">
        <is>
          <t>vTargetExpenses</t>
        </is>
      </c>
      <c r="C44" s="43" t="inlineStr">
        <is>
          <t>10500000</t>
        </is>
      </c>
      <c r="D44" s="43" t="inlineStr"/>
      <c r="E44" s="39" t="n">
        <v>10500000</v>
      </c>
      <c r="F44" s="37" t="inlineStr">
        <is>
          <t>No</t>
        </is>
      </c>
      <c r="G44" s="37" t="inlineStr">
        <is>
          <t>Yes</t>
        </is>
      </c>
      <c r="H44" s="37" t="inlineStr">
        <is>
          <t>qvapp_variablelist</t>
        </is>
      </c>
      <c r="I44" s="37" t="inlineStr">
        <is>
          <t>339610c8-e320-4cce-be61-2f451f9bcc67</t>
        </is>
      </c>
      <c r="J44" s="37" t="inlineStr">
        <is>
          <t>qvf-app</t>
        </is>
      </c>
    </row>
    <row r="45">
      <c r="A45" s="32" t="inlineStr">
        <is>
          <t>Executive Dashboard</t>
        </is>
      </c>
      <c r="B45" s="32" t="inlineStr">
        <is>
          <t>vSalesAnalysis</t>
        </is>
      </c>
      <c r="C45" s="42" t="inlineStr">
        <is>
          <t>1</t>
        </is>
      </c>
      <c r="D45" s="42" t="inlineStr"/>
      <c r="E45" s="34" t="n">
        <v>1</v>
      </c>
      <c r="F45" s="32" t="inlineStr">
        <is>
          <t>No</t>
        </is>
      </c>
      <c r="G45" s="32" t="inlineStr">
        <is>
          <t>Yes</t>
        </is>
      </c>
      <c r="H45" s="32" t="inlineStr">
        <is>
          <t>qvapp_variablelist</t>
        </is>
      </c>
      <c r="I45" s="32" t="inlineStr">
        <is>
          <t>d320cea0-4373-45bb-adf3-ec4b84f52db8</t>
        </is>
      </c>
      <c r="J45" s="32" t="inlineStr">
        <is>
          <t>qvf-app</t>
        </is>
      </c>
    </row>
    <row r="46">
      <c r="A46" s="37" t="inlineStr">
        <is>
          <t>Executive Dashboard</t>
        </is>
      </c>
      <c r="B46" s="37" t="inlineStr">
        <is>
          <t>vYear</t>
        </is>
      </c>
      <c r="C46" s="43" t="inlineStr">
        <is>
          <t>=Concat(DISTINCT [Fiscal Year], ',')</t>
        </is>
      </c>
      <c r="D46" s="43" t="inlineStr"/>
      <c r="E46" s="37" t="inlineStr">
        <is>
          <t>NaN</t>
        </is>
      </c>
      <c r="F46" s="37" t="inlineStr">
        <is>
          <t>Yes</t>
        </is>
      </c>
      <c r="G46" s="37" t="inlineStr">
        <is>
          <t>Yes</t>
        </is>
      </c>
      <c r="H46" s="37" t="inlineStr">
        <is>
          <t>qvapp_variablelist</t>
        </is>
      </c>
      <c r="I46" s="37" t="inlineStr">
        <is>
          <t>a31db449-aa13-4d72-84a4-154829565f66</t>
        </is>
      </c>
      <c r="J46" s="37" t="inlineStr">
        <is>
          <t>qvf-app</t>
        </is>
      </c>
    </row>
    <row r="47">
      <c r="A47" s="32" t="inlineStr">
        <is>
          <t>Executive Dashboard</t>
        </is>
      </c>
      <c r="B47" s="32" t="inlineStr">
        <is>
          <t>vTargetInventory</t>
        </is>
      </c>
      <c r="C47" s="42" t="inlineStr">
        <is>
          <t>2000000</t>
        </is>
      </c>
      <c r="D47" s="42" t="inlineStr"/>
      <c r="E47" s="34" t="n">
        <v>2000000</v>
      </c>
      <c r="F47" s="32" t="inlineStr">
        <is>
          <t>No</t>
        </is>
      </c>
      <c r="G47" s="32" t="inlineStr">
        <is>
          <t>Yes</t>
        </is>
      </c>
      <c r="H47" s="32" t="inlineStr">
        <is>
          <t>qvapp_variablelist</t>
        </is>
      </c>
      <c r="I47" s="32" t="inlineStr">
        <is>
          <t>0952c056-2bd4-4082-8eb3-100f32da1e4d</t>
        </is>
      </c>
      <c r="J47" s="32" t="inlineStr">
        <is>
          <t>qvf-app</t>
        </is>
      </c>
    </row>
    <row r="48">
      <c r="A48" s="37" t="inlineStr">
        <is>
          <t>Executive Dashboard</t>
        </is>
      </c>
      <c r="B48" s="37" t="inlineStr">
        <is>
          <t>vQVDPath</t>
        </is>
      </c>
      <c r="C48" s="43" t="inlineStr">
        <is>
          <t>Database\QVD\</t>
        </is>
      </c>
      <c r="D48" s="43" t="inlineStr"/>
      <c r="E48" s="37" t="inlineStr">
        <is>
          <t>NaN</t>
        </is>
      </c>
      <c r="F48" s="37" t="inlineStr">
        <is>
          <t>No</t>
        </is>
      </c>
      <c r="G48" s="37" t="inlineStr">
        <is>
          <t>Yes</t>
        </is>
      </c>
      <c r="H48" s="37" t="inlineStr">
        <is>
          <t>qvapp_variablelist</t>
        </is>
      </c>
      <c r="I48" s="37" t="inlineStr">
        <is>
          <t>cca26043-3bd8-4b33-bfca-6b3d79165cae</t>
        </is>
      </c>
      <c r="J48" s="37" t="inlineStr">
        <is>
          <t>qvf-app</t>
        </is>
      </c>
    </row>
    <row r="49">
      <c r="A49" s="32" t="inlineStr">
        <is>
          <t>Executive Dashboard</t>
        </is>
      </c>
      <c r="B49" s="32" t="inlineStr">
        <is>
          <t>HidePrefix</t>
        </is>
      </c>
      <c r="C49" s="42" t="inlineStr">
        <is>
          <t>_</t>
        </is>
      </c>
      <c r="D49" s="42" t="inlineStr"/>
      <c r="E49" s="32" t="inlineStr">
        <is>
          <t>NaN</t>
        </is>
      </c>
      <c r="F49" s="32" t="inlineStr">
        <is>
          <t>No</t>
        </is>
      </c>
      <c r="G49" s="32" t="inlineStr">
        <is>
          <t>Yes</t>
        </is>
      </c>
      <c r="H49" s="32" t="inlineStr">
        <is>
          <t>qvapp_variablelist</t>
        </is>
      </c>
      <c r="I49" s="32" t="inlineStr">
        <is>
          <t>fb42b1a6-ea72-4e40-8c3f-ed33eebb0fc6</t>
        </is>
      </c>
      <c r="J49" s="32" t="inlineStr">
        <is>
          <t>qvf-app</t>
        </is>
      </c>
    </row>
    <row r="50">
      <c r="A50" s="37" t="inlineStr">
        <is>
          <t>Executive Dashboard</t>
        </is>
      </c>
      <c r="B50" s="37" t="inlineStr">
        <is>
          <t>vLanguage</t>
        </is>
      </c>
      <c r="C50" s="43" t="inlineStr">
        <is>
          <t>=Minstring(_LANGUAGE)</t>
        </is>
      </c>
      <c r="D50" s="43" t="inlineStr"/>
      <c r="E50" s="37" t="inlineStr">
        <is>
          <t>NaN</t>
        </is>
      </c>
      <c r="F50" s="37" t="inlineStr">
        <is>
          <t>Yes</t>
        </is>
      </c>
      <c r="G50" s="37" t="inlineStr">
        <is>
          <t>Yes</t>
        </is>
      </c>
      <c r="H50" s="37" t="inlineStr">
        <is>
          <t>qvapp_variablelist</t>
        </is>
      </c>
      <c r="I50" s="37" t="inlineStr">
        <is>
          <t>0da70f9c-0116-4bca-8635-415a9249113f</t>
        </is>
      </c>
      <c r="J50" s="37" t="inlineStr">
        <is>
          <t>qvf-app</t>
        </is>
      </c>
    </row>
    <row r="51">
      <c r="A51" s="32" t="inlineStr">
        <is>
          <t>Executive Dashboard</t>
        </is>
      </c>
      <c r="B51" s="32" t="inlineStr">
        <is>
          <t>vYTDYear</t>
        </is>
      </c>
      <c r="C51" s="42" t="inlineStr">
        <is>
          <t>=max([Fiscal Year])</t>
        </is>
      </c>
      <c r="D51" s="42" t="inlineStr"/>
      <c r="E51" s="32" t="inlineStr">
        <is>
          <t>NaN</t>
        </is>
      </c>
      <c r="F51" s="32" t="inlineStr">
        <is>
          <t>Yes</t>
        </is>
      </c>
      <c r="G51" s="32" t="inlineStr">
        <is>
          <t>Yes</t>
        </is>
      </c>
      <c r="H51" s="32" t="inlineStr">
        <is>
          <t>qvapp_variablelist</t>
        </is>
      </c>
      <c r="I51" s="32" t="inlineStr">
        <is>
          <t>76d8b60b-2094-4ef4-9fb5-02bb4f686564</t>
        </is>
      </c>
      <c r="J51" s="32" t="inlineStr">
        <is>
          <t>qvf-app</t>
        </is>
      </c>
    </row>
    <row r="52">
      <c r="A52" s="37" t="inlineStr">
        <is>
          <t>Executive Dashboard</t>
        </is>
      </c>
      <c r="B52" s="37" t="inlineStr">
        <is>
          <t>vYTDMonth</t>
        </is>
      </c>
      <c r="C52" s="43" t="inlineStr">
        <is>
          <t>=if(GetSelectedCount(FiscalMonth) = 0, Month(max({&lt;_HistoryFlag = {"1"}&gt;} YYYYMM)), concat(distinct FiscalMonth, ','))</t>
        </is>
      </c>
      <c r="D52" s="43" t="inlineStr"/>
      <c r="E52" s="37" t="inlineStr">
        <is>
          <t>NaN</t>
        </is>
      </c>
      <c r="F52" s="37" t="inlineStr">
        <is>
          <t>Yes</t>
        </is>
      </c>
      <c r="G52" s="37" t="inlineStr">
        <is>
          <t>Yes</t>
        </is>
      </c>
      <c r="H52" s="37" t="inlineStr">
        <is>
          <t>qvapp_variablelist</t>
        </is>
      </c>
      <c r="I52" s="37" t="inlineStr">
        <is>
          <t>a7f9c033-31b5-4788-b964-396e7864f36e</t>
        </is>
      </c>
      <c r="J52" s="37" t="inlineStr">
        <is>
          <t>qvf-app</t>
        </is>
      </c>
    </row>
    <row r="53">
      <c r="A53" s="32" t="inlineStr">
        <is>
          <t>Executive Dashboard</t>
        </is>
      </c>
      <c r="B53" s="32" t="inlineStr">
        <is>
          <t>FLOPPY</t>
        </is>
      </c>
      <c r="C53" s="42" t="inlineStr">
        <is>
          <t>D:</t>
        </is>
      </c>
      <c r="D53" s="42" t="inlineStr"/>
      <c r="E53" s="32" t="inlineStr">
        <is>
          <t>NaN</t>
        </is>
      </c>
      <c r="F53" s="32" t="inlineStr">
        <is>
          <t>No</t>
        </is>
      </c>
      <c r="G53" s="32" t="inlineStr">
        <is>
          <t>Yes</t>
        </is>
      </c>
      <c r="H53" s="32" t="inlineStr">
        <is>
          <t>qvapp_variablelist</t>
        </is>
      </c>
      <c r="I53" s="32" t="inlineStr">
        <is>
          <t>ccd401c1-78db-41e5-8197-82d02b207cc9</t>
        </is>
      </c>
      <c r="J53" s="32" t="inlineStr">
        <is>
          <t>qvf-app</t>
        </is>
      </c>
    </row>
    <row r="54">
      <c r="A54" s="37" t="inlineStr">
        <is>
          <t>First Qlikview Report</t>
        </is>
      </c>
      <c r="B54" s="37" t="inlineStr">
        <is>
          <t>ErrorMode</t>
        </is>
      </c>
      <c r="C54" s="43" t="inlineStr"/>
      <c r="D54" s="43" t="inlineStr"/>
      <c r="E54" s="39" t="n">
        <v>1</v>
      </c>
      <c r="F54" s="37" t="inlineStr">
        <is>
          <t>No</t>
        </is>
      </c>
      <c r="G54" s="37" t="inlineStr">
        <is>
          <t>Yes</t>
        </is>
      </c>
      <c r="H54" s="37" t="inlineStr">
        <is>
          <t>qvapp_variablelist</t>
        </is>
      </c>
      <c r="I54" s="37" t="inlineStr">
        <is>
          <t>a129edb5-45a3-4d66-8d77-90b5f9206540</t>
        </is>
      </c>
      <c r="J54" s="37" t="inlineStr">
        <is>
          <t>qvf-app</t>
        </is>
      </c>
    </row>
    <row r="55">
      <c r="A55" s="32" t="inlineStr">
        <is>
          <t>First Qlikview Report</t>
        </is>
      </c>
      <c r="B55" s="32" t="inlineStr">
        <is>
          <t>StripComments</t>
        </is>
      </c>
      <c r="C55" s="42" t="inlineStr"/>
      <c r="D55" s="42" t="inlineStr"/>
      <c r="E55" s="34" t="n">
        <v>1</v>
      </c>
      <c r="F55" s="32" t="inlineStr">
        <is>
          <t>No</t>
        </is>
      </c>
      <c r="G55" s="32" t="inlineStr">
        <is>
          <t>Yes</t>
        </is>
      </c>
      <c r="H55" s="32" t="inlineStr">
        <is>
          <t>qvapp_variablelist</t>
        </is>
      </c>
      <c r="I55" s="32" t="inlineStr">
        <is>
          <t>12cb96eb-1b74-4901-b940-caabc189e58c</t>
        </is>
      </c>
      <c r="J55" s="32" t="inlineStr">
        <is>
          <t>qvf-app</t>
        </is>
      </c>
    </row>
    <row r="56">
      <c r="A56" s="37" t="inlineStr">
        <is>
          <t>First Qlikview Report</t>
        </is>
      </c>
      <c r="B56" s="37" t="inlineStr">
        <is>
          <t>OpenUrlTimeout</t>
        </is>
      </c>
      <c r="C56" s="43" t="inlineStr"/>
      <c r="D56" s="43" t="inlineStr"/>
      <c r="E56" s="39" t="n">
        <v>86400</v>
      </c>
      <c r="F56" s="37" t="inlineStr">
        <is>
          <t>No</t>
        </is>
      </c>
      <c r="G56" s="37" t="inlineStr">
        <is>
          <t>Yes</t>
        </is>
      </c>
      <c r="H56" s="37" t="inlineStr">
        <is>
          <t>qvapp_variablelist</t>
        </is>
      </c>
      <c r="I56" s="37" t="inlineStr">
        <is>
          <t>d0aadbb8-4683-44af-9724-19399b6792ae</t>
        </is>
      </c>
      <c r="J56" s="37" t="inlineStr">
        <is>
          <t>qvf-app</t>
        </is>
      </c>
    </row>
    <row r="57">
      <c r="A57" s="32" t="inlineStr">
        <is>
          <t>First Qlikview Report</t>
        </is>
      </c>
      <c r="B57" s="32" t="inlineStr">
        <is>
          <t>ScriptError</t>
        </is>
      </c>
      <c r="C57" s="42" t="inlineStr"/>
      <c r="D57" s="42" t="inlineStr"/>
      <c r="E57" s="34" t="n">
        <v>0</v>
      </c>
      <c r="F57" s="32" t="inlineStr">
        <is>
          <t>No</t>
        </is>
      </c>
      <c r="G57" s="32" t="inlineStr">
        <is>
          <t>Yes</t>
        </is>
      </c>
      <c r="H57" s="32" t="inlineStr">
        <is>
          <t>qvapp_variablelist</t>
        </is>
      </c>
      <c r="I57" s="32" t="inlineStr">
        <is>
          <t>cd1f67b6-b5f2-4c55-beb8-818403a5f47a</t>
        </is>
      </c>
      <c r="J57" s="32" t="inlineStr">
        <is>
          <t>qvf-app</t>
        </is>
      </c>
    </row>
    <row r="58">
      <c r="A58" s="37" t="inlineStr">
        <is>
          <t>First Qlikview Report</t>
        </is>
      </c>
      <c r="B58" s="37" t="inlineStr">
        <is>
          <t>ScriptErrorCount</t>
        </is>
      </c>
      <c r="C58" s="43" t="inlineStr">
        <is>
          <t>0</t>
        </is>
      </c>
      <c r="D58" s="43" t="inlineStr"/>
      <c r="E58" s="39" t="n">
        <v>0</v>
      </c>
      <c r="F58" s="37" t="inlineStr">
        <is>
          <t>No</t>
        </is>
      </c>
      <c r="G58" s="37" t="inlineStr">
        <is>
          <t>Yes</t>
        </is>
      </c>
      <c r="H58" s="37" t="inlineStr">
        <is>
          <t>qvapp_variablelist</t>
        </is>
      </c>
      <c r="I58" s="37" t="inlineStr">
        <is>
          <t>159be8ca-9d5d-4a4b-a137-427bef766c65</t>
        </is>
      </c>
      <c r="J58" s="37" t="inlineStr">
        <is>
          <t>qvf-app</t>
        </is>
      </c>
    </row>
    <row r="59">
      <c r="A59" s="32" t="inlineStr">
        <is>
          <t>First Qlikview Report</t>
        </is>
      </c>
      <c r="B59" s="32" t="inlineStr">
        <is>
          <t>ScriptErrorList</t>
        </is>
      </c>
      <c r="C59" s="42" t="inlineStr"/>
      <c r="D59" s="42" t="inlineStr"/>
      <c r="E59" s="32" t="inlineStr">
        <is>
          <t>NaN</t>
        </is>
      </c>
      <c r="F59" s="32" t="inlineStr">
        <is>
          <t>No</t>
        </is>
      </c>
      <c r="G59" s="32" t="inlineStr">
        <is>
          <t>Yes</t>
        </is>
      </c>
      <c r="H59" s="32" t="inlineStr">
        <is>
          <t>qvapp_variablelist</t>
        </is>
      </c>
      <c r="I59" s="32" t="inlineStr">
        <is>
          <t>b1492e54-1088-4c86-95ee-391be2c07087</t>
        </is>
      </c>
      <c r="J59" s="32" t="inlineStr">
        <is>
          <t>qvf-app</t>
        </is>
      </c>
    </row>
    <row r="60">
      <c r="A60" s="37" t="inlineStr">
        <is>
          <t>Helpdesk Management</t>
        </is>
      </c>
      <c r="B60" s="37" t="inlineStr">
        <is>
          <t>CD</t>
        </is>
      </c>
      <c r="C60" s="43" t="inlineStr">
        <is>
          <t>D:</t>
        </is>
      </c>
      <c r="D60" s="43" t="inlineStr"/>
      <c r="E60" s="37" t="inlineStr">
        <is>
          <t>NaN</t>
        </is>
      </c>
      <c r="F60" s="37" t="inlineStr">
        <is>
          <t>No</t>
        </is>
      </c>
      <c r="G60" s="37" t="inlineStr">
        <is>
          <t>Yes</t>
        </is>
      </c>
      <c r="H60" s="37" t="inlineStr">
        <is>
          <t>qvapp_variablelist</t>
        </is>
      </c>
      <c r="I60" s="37" t="inlineStr">
        <is>
          <t>b8db01aa-3704-43e7-a903-4e7c6ec40bfd</t>
        </is>
      </c>
      <c r="J60" s="37" t="inlineStr">
        <is>
          <t>qvf-app</t>
        </is>
      </c>
    </row>
    <row r="61">
      <c r="A61" s="32" t="inlineStr">
        <is>
          <t>Helpdesk Management</t>
        </is>
      </c>
      <c r="B61" s="32" t="inlineStr">
        <is>
          <t>QvPath</t>
        </is>
      </c>
      <c r="C61" s="42" t="inlineStr">
        <is>
          <t>C:\Users\cbo\AppData\Local\Programs\QlikView</t>
        </is>
      </c>
      <c r="D61" s="42" t="inlineStr"/>
      <c r="E61" s="32" t="inlineStr">
        <is>
          <t>NaN</t>
        </is>
      </c>
      <c r="F61" s="32" t="inlineStr">
        <is>
          <t>No</t>
        </is>
      </c>
      <c r="G61" s="32" t="inlineStr">
        <is>
          <t>Yes</t>
        </is>
      </c>
      <c r="H61" s="32" t="inlineStr">
        <is>
          <t>qvapp_variablelist</t>
        </is>
      </c>
      <c r="I61" s="32" t="inlineStr">
        <is>
          <t>29e6ed3a-609d-442f-9618-264a40607f44</t>
        </is>
      </c>
      <c r="J61" s="32" t="inlineStr">
        <is>
          <t>qvf-app</t>
        </is>
      </c>
    </row>
    <row r="62">
      <c r="A62" s="37" t="inlineStr">
        <is>
          <t>Helpdesk Management</t>
        </is>
      </c>
      <c r="B62" s="37" t="inlineStr">
        <is>
          <t>QvRoot</t>
        </is>
      </c>
      <c r="C62" s="43" t="inlineStr">
        <is>
          <t>C:</t>
        </is>
      </c>
      <c r="D62" s="43" t="inlineStr"/>
      <c r="E62" s="37" t="inlineStr">
        <is>
          <t>NaN</t>
        </is>
      </c>
      <c r="F62" s="37" t="inlineStr">
        <is>
          <t>No</t>
        </is>
      </c>
      <c r="G62" s="37" t="inlineStr">
        <is>
          <t>Yes</t>
        </is>
      </c>
      <c r="H62" s="37" t="inlineStr">
        <is>
          <t>qvapp_variablelist</t>
        </is>
      </c>
      <c r="I62" s="37" t="inlineStr">
        <is>
          <t>b33881f3-3211-46bd-91da-fd63f3e4d238</t>
        </is>
      </c>
      <c r="J62" s="37" t="inlineStr">
        <is>
          <t>qvf-app</t>
        </is>
      </c>
    </row>
    <row r="63">
      <c r="A63" s="32" t="inlineStr">
        <is>
          <t>Helpdesk Management</t>
        </is>
      </c>
      <c r="B63" s="32" t="inlineStr">
        <is>
          <t>QvWorkPath</t>
        </is>
      </c>
      <c r="C63" s="42" t="inlineStr">
        <is>
          <t>C:/Users/cbo/Documents/Qlik/QlikView/Apps</t>
        </is>
      </c>
      <c r="D63" s="42" t="inlineStr"/>
      <c r="E63" s="32" t="inlineStr">
        <is>
          <t>NaN</t>
        </is>
      </c>
      <c r="F63" s="32" t="inlineStr">
        <is>
          <t>No</t>
        </is>
      </c>
      <c r="G63" s="32" t="inlineStr">
        <is>
          <t>Yes</t>
        </is>
      </c>
      <c r="H63" s="32" t="inlineStr">
        <is>
          <t>qvapp_variablelist</t>
        </is>
      </c>
      <c r="I63" s="32" t="inlineStr">
        <is>
          <t>33a83350-d428-4cad-a0f0-eee9878c31b2</t>
        </is>
      </c>
      <c r="J63" s="32" t="inlineStr">
        <is>
          <t>qvf-app</t>
        </is>
      </c>
    </row>
    <row r="64">
      <c r="A64" s="37" t="inlineStr">
        <is>
          <t>Helpdesk Management</t>
        </is>
      </c>
      <c r="B64" s="37" t="inlineStr">
        <is>
          <t>QvWorkRoot</t>
        </is>
      </c>
      <c r="C64" s="43" t="inlineStr">
        <is>
          <t>C:</t>
        </is>
      </c>
      <c r="D64" s="43" t="inlineStr"/>
      <c r="E64" s="37" t="inlineStr">
        <is>
          <t>NaN</t>
        </is>
      </c>
      <c r="F64" s="37" t="inlineStr">
        <is>
          <t>No</t>
        </is>
      </c>
      <c r="G64" s="37" t="inlineStr">
        <is>
          <t>Yes</t>
        </is>
      </c>
      <c r="H64" s="37" t="inlineStr">
        <is>
          <t>qvapp_variablelist</t>
        </is>
      </c>
      <c r="I64" s="37" t="inlineStr">
        <is>
          <t>20538bc3-ac79-4d61-b291-e953bec5b02e</t>
        </is>
      </c>
      <c r="J64" s="37" t="inlineStr">
        <is>
          <t>qvf-app</t>
        </is>
      </c>
    </row>
    <row r="65">
      <c r="A65" s="32" t="inlineStr">
        <is>
          <t>Helpdesk Management</t>
        </is>
      </c>
      <c r="B65" s="32" t="inlineStr">
        <is>
          <t>WinPath</t>
        </is>
      </c>
      <c r="C65" s="42" t="inlineStr">
        <is>
          <t>C:\Windows</t>
        </is>
      </c>
      <c r="D65" s="42" t="inlineStr"/>
      <c r="E65" s="32" t="inlineStr">
        <is>
          <t>NaN</t>
        </is>
      </c>
      <c r="F65" s="32" t="inlineStr">
        <is>
          <t>No</t>
        </is>
      </c>
      <c r="G65" s="32" t="inlineStr">
        <is>
          <t>Yes</t>
        </is>
      </c>
      <c r="H65" s="32" t="inlineStr">
        <is>
          <t>qvapp_variablelist</t>
        </is>
      </c>
      <c r="I65" s="32" t="inlineStr">
        <is>
          <t>07398cc4-47c8-4328-ab6e-9928dc0befe2</t>
        </is>
      </c>
      <c r="J65" s="32" t="inlineStr">
        <is>
          <t>qvf-app</t>
        </is>
      </c>
    </row>
    <row r="66">
      <c r="A66" s="37" t="inlineStr">
        <is>
          <t>Helpdesk Management</t>
        </is>
      </c>
      <c r="B66" s="37" t="inlineStr">
        <is>
          <t>WinRoot</t>
        </is>
      </c>
      <c r="C66" s="43" t="inlineStr">
        <is>
          <t>C:</t>
        </is>
      </c>
      <c r="D66" s="43" t="inlineStr"/>
      <c r="E66" s="37" t="inlineStr">
        <is>
          <t>NaN</t>
        </is>
      </c>
      <c r="F66" s="37" t="inlineStr">
        <is>
          <t>No</t>
        </is>
      </c>
      <c r="G66" s="37" t="inlineStr">
        <is>
          <t>Yes</t>
        </is>
      </c>
      <c r="H66" s="37" t="inlineStr">
        <is>
          <t>qvapp_variablelist</t>
        </is>
      </c>
      <c r="I66" s="37" t="inlineStr">
        <is>
          <t>aa98f25e-4cc7-4c87-82f7-88aae2ce4c46</t>
        </is>
      </c>
      <c r="J66" s="37" t="inlineStr">
        <is>
          <t>qvf-app</t>
        </is>
      </c>
    </row>
    <row r="67">
      <c r="A67" s="32" t="inlineStr">
        <is>
          <t>Helpdesk Management</t>
        </is>
      </c>
      <c r="B67" s="32" t="inlineStr">
        <is>
          <t>ErrorMode</t>
        </is>
      </c>
      <c r="C67" s="42" t="inlineStr"/>
      <c r="D67" s="42" t="inlineStr"/>
      <c r="E67" s="34" t="n">
        <v>1</v>
      </c>
      <c r="F67" s="32" t="inlineStr">
        <is>
          <t>No</t>
        </is>
      </c>
      <c r="G67" s="32" t="inlineStr">
        <is>
          <t>Yes</t>
        </is>
      </c>
      <c r="H67" s="32" t="inlineStr">
        <is>
          <t>qvapp_variablelist</t>
        </is>
      </c>
      <c r="I67" s="32" t="inlineStr">
        <is>
          <t>bef719a3-e211-483b-a541-72bcd97723e0</t>
        </is>
      </c>
      <c r="J67" s="32" t="inlineStr">
        <is>
          <t>qvf-app</t>
        </is>
      </c>
    </row>
    <row r="68">
      <c r="A68" s="37" t="inlineStr">
        <is>
          <t>Helpdesk Management</t>
        </is>
      </c>
      <c r="B68" s="37" t="inlineStr">
        <is>
          <t>StripComments</t>
        </is>
      </c>
      <c r="C68" s="43" t="inlineStr"/>
      <c r="D68" s="43" t="inlineStr"/>
      <c r="E68" s="39" t="n">
        <v>1</v>
      </c>
      <c r="F68" s="37" t="inlineStr">
        <is>
          <t>No</t>
        </is>
      </c>
      <c r="G68" s="37" t="inlineStr">
        <is>
          <t>Yes</t>
        </is>
      </c>
      <c r="H68" s="37" t="inlineStr">
        <is>
          <t>qvapp_variablelist</t>
        </is>
      </c>
      <c r="I68" s="37" t="inlineStr">
        <is>
          <t>36b0ace6-ff8e-4552-82b2-9d2f66bbf405</t>
        </is>
      </c>
      <c r="J68" s="37" t="inlineStr">
        <is>
          <t>qvf-app</t>
        </is>
      </c>
    </row>
    <row r="69">
      <c r="A69" s="32" t="inlineStr">
        <is>
          <t>Helpdesk Management</t>
        </is>
      </c>
      <c r="B69" s="32" t="inlineStr">
        <is>
          <t>OpenUrlTimeout</t>
        </is>
      </c>
      <c r="C69" s="42" t="inlineStr"/>
      <c r="D69" s="42" t="inlineStr"/>
      <c r="E69" s="34" t="n">
        <v>86400</v>
      </c>
      <c r="F69" s="32" t="inlineStr">
        <is>
          <t>No</t>
        </is>
      </c>
      <c r="G69" s="32" t="inlineStr">
        <is>
          <t>Yes</t>
        </is>
      </c>
      <c r="H69" s="32" t="inlineStr">
        <is>
          <t>qvapp_variablelist</t>
        </is>
      </c>
      <c r="I69" s="32" t="inlineStr">
        <is>
          <t>3e5a6675-def3-40e4-a577-e67a95b15a4a</t>
        </is>
      </c>
      <c r="J69" s="32" t="inlineStr">
        <is>
          <t>qvf-app</t>
        </is>
      </c>
    </row>
    <row r="70">
      <c r="A70" s="37" t="inlineStr">
        <is>
          <t>Helpdesk Management</t>
        </is>
      </c>
      <c r="B70" s="37" t="inlineStr">
        <is>
          <t>ScriptErrorCount</t>
        </is>
      </c>
      <c r="C70" s="43" t="inlineStr">
        <is>
          <t>0</t>
        </is>
      </c>
      <c r="D70" s="43" t="inlineStr"/>
      <c r="E70" s="39" t="n">
        <v>0</v>
      </c>
      <c r="F70" s="37" t="inlineStr">
        <is>
          <t>No</t>
        </is>
      </c>
      <c r="G70" s="37" t="inlineStr">
        <is>
          <t>Yes</t>
        </is>
      </c>
      <c r="H70" s="37" t="inlineStr">
        <is>
          <t>qvapp_variablelist</t>
        </is>
      </c>
      <c r="I70" s="37" t="inlineStr">
        <is>
          <t>7ba8c398-4d88-4337-8d16-e49f9ed8df63</t>
        </is>
      </c>
      <c r="J70" s="37" t="inlineStr">
        <is>
          <t>qvf-app</t>
        </is>
      </c>
    </row>
    <row r="71">
      <c r="A71" s="32" t="inlineStr">
        <is>
          <t>Helpdesk Management</t>
        </is>
      </c>
      <c r="B71" s="32" t="inlineStr">
        <is>
          <t>ScriptErrorList</t>
        </is>
      </c>
      <c r="C71" s="42" t="inlineStr"/>
      <c r="D71" s="42" t="inlineStr"/>
      <c r="E71" s="32" t="inlineStr">
        <is>
          <t>NaN</t>
        </is>
      </c>
      <c r="F71" s="32" t="inlineStr">
        <is>
          <t>No</t>
        </is>
      </c>
      <c r="G71" s="32" t="inlineStr">
        <is>
          <t>Yes</t>
        </is>
      </c>
      <c r="H71" s="32" t="inlineStr">
        <is>
          <t>qvapp_variablelist</t>
        </is>
      </c>
      <c r="I71" s="32" t="inlineStr">
        <is>
          <t>108c5a05-45e7-47c4-a17d-18d41f701b40</t>
        </is>
      </c>
      <c r="J71" s="32" t="inlineStr">
        <is>
          <t>qvf-app</t>
        </is>
      </c>
    </row>
    <row r="72">
      <c r="A72" s="37" t="inlineStr">
        <is>
          <t>Helpdesk Management</t>
        </is>
      </c>
      <c r="B72" s="37" t="inlineStr">
        <is>
          <t>ScriptError</t>
        </is>
      </c>
      <c r="C72" s="43" t="inlineStr"/>
      <c r="D72" s="43" t="inlineStr"/>
      <c r="E72" s="39" t="n">
        <v>0</v>
      </c>
      <c r="F72" s="37" t="inlineStr">
        <is>
          <t>No</t>
        </is>
      </c>
      <c r="G72" s="37" t="inlineStr">
        <is>
          <t>Yes</t>
        </is>
      </c>
      <c r="H72" s="37" t="inlineStr">
        <is>
          <t>qvapp_variablelist</t>
        </is>
      </c>
      <c r="I72" s="37" t="inlineStr">
        <is>
          <t>de2bd80a-d2f9-43c0-9081-9df38416b9df</t>
        </is>
      </c>
      <c r="J72" s="37" t="inlineStr">
        <is>
          <t>qvf-app</t>
        </is>
      </c>
    </row>
    <row r="73">
      <c r="A73" s="32" t="inlineStr">
        <is>
          <t>Helpdesk Management</t>
        </is>
      </c>
      <c r="B73" s="32" t="inlineStr">
        <is>
          <t>ThousandSep</t>
        </is>
      </c>
      <c r="C73" s="42" t="inlineStr">
        <is>
          <t>,</t>
        </is>
      </c>
      <c r="D73" s="42" t="inlineStr"/>
      <c r="E73" s="32" t="inlineStr">
        <is>
          <t>NaN</t>
        </is>
      </c>
      <c r="F73" s="32" t="inlineStr">
        <is>
          <t>No</t>
        </is>
      </c>
      <c r="G73" s="32" t="inlineStr">
        <is>
          <t>Yes</t>
        </is>
      </c>
      <c r="H73" s="32" t="inlineStr">
        <is>
          <t>qvapp_variablelist</t>
        </is>
      </c>
      <c r="I73" s="32" t="inlineStr">
        <is>
          <t>787e3a58-8c79-4338-acba-958155ce600a</t>
        </is>
      </c>
      <c r="J73" s="32" t="inlineStr">
        <is>
          <t>qvf-app</t>
        </is>
      </c>
    </row>
    <row r="74">
      <c r="A74" s="37" t="inlineStr">
        <is>
          <t>Helpdesk Management</t>
        </is>
      </c>
      <c r="B74" s="37" t="inlineStr">
        <is>
          <t>DecimalSep</t>
        </is>
      </c>
      <c r="C74" s="43" t="inlineStr">
        <is>
          <t>.</t>
        </is>
      </c>
      <c r="D74" s="43" t="inlineStr"/>
      <c r="E74" s="37" t="inlineStr">
        <is>
          <t>NaN</t>
        </is>
      </c>
      <c r="F74" s="37" t="inlineStr">
        <is>
          <t>No</t>
        </is>
      </c>
      <c r="G74" s="37" t="inlineStr">
        <is>
          <t>Yes</t>
        </is>
      </c>
      <c r="H74" s="37" t="inlineStr">
        <is>
          <t>qvapp_variablelist</t>
        </is>
      </c>
      <c r="I74" s="37" t="inlineStr">
        <is>
          <t>325e45f4-2d35-4e94-a1d9-863e2d53dfc2</t>
        </is>
      </c>
      <c r="J74" s="37" t="inlineStr">
        <is>
          <t>qvf-app</t>
        </is>
      </c>
    </row>
    <row r="75">
      <c r="A75" s="32" t="inlineStr">
        <is>
          <t>Helpdesk Management</t>
        </is>
      </c>
      <c r="B75" s="32" t="inlineStr">
        <is>
          <t>MoneyThousandSep</t>
        </is>
      </c>
      <c r="C75" s="42" t="inlineStr">
        <is>
          <t>,</t>
        </is>
      </c>
      <c r="D75" s="42" t="inlineStr"/>
      <c r="E75" s="32" t="inlineStr">
        <is>
          <t>NaN</t>
        </is>
      </c>
      <c r="F75" s="32" t="inlineStr">
        <is>
          <t>No</t>
        </is>
      </c>
      <c r="G75" s="32" t="inlineStr">
        <is>
          <t>Yes</t>
        </is>
      </c>
      <c r="H75" s="32" t="inlineStr">
        <is>
          <t>qvapp_variablelist</t>
        </is>
      </c>
      <c r="I75" s="32" t="inlineStr">
        <is>
          <t>8e7fad9b-3c0a-4749-8031-20b0c21fc0b7</t>
        </is>
      </c>
      <c r="J75" s="32" t="inlineStr">
        <is>
          <t>qvf-app</t>
        </is>
      </c>
    </row>
    <row r="76">
      <c r="A76" s="37" t="inlineStr">
        <is>
          <t>Helpdesk Management</t>
        </is>
      </c>
      <c r="B76" s="37" t="inlineStr">
        <is>
          <t>MoneyDecimalSep</t>
        </is>
      </c>
      <c r="C76" s="43" t="inlineStr">
        <is>
          <t>.</t>
        </is>
      </c>
      <c r="D76" s="43" t="inlineStr"/>
      <c r="E76" s="37" t="inlineStr">
        <is>
          <t>NaN</t>
        </is>
      </c>
      <c r="F76" s="37" t="inlineStr">
        <is>
          <t>No</t>
        </is>
      </c>
      <c r="G76" s="37" t="inlineStr">
        <is>
          <t>Yes</t>
        </is>
      </c>
      <c r="H76" s="37" t="inlineStr">
        <is>
          <t>qvapp_variablelist</t>
        </is>
      </c>
      <c r="I76" s="37" t="inlineStr">
        <is>
          <t>2f1615d8-344f-440d-8eec-41b78873f1f0</t>
        </is>
      </c>
      <c r="J76" s="37" t="inlineStr">
        <is>
          <t>qvf-app</t>
        </is>
      </c>
    </row>
    <row r="77">
      <c r="A77" s="32" t="inlineStr">
        <is>
          <t>Helpdesk Management</t>
        </is>
      </c>
      <c r="B77" s="32" t="inlineStr">
        <is>
          <t>MoneyFormat</t>
        </is>
      </c>
      <c r="C77" s="42" t="inlineStr">
        <is>
          <t>$#,##0.00;($#,##0.00)</t>
        </is>
      </c>
      <c r="D77" s="42" t="inlineStr"/>
      <c r="E77" s="32" t="inlineStr">
        <is>
          <t>NaN</t>
        </is>
      </c>
      <c r="F77" s="32" t="inlineStr">
        <is>
          <t>No</t>
        </is>
      </c>
      <c r="G77" s="32" t="inlineStr">
        <is>
          <t>Yes</t>
        </is>
      </c>
      <c r="H77" s="32" t="inlineStr">
        <is>
          <t>qvapp_variablelist</t>
        </is>
      </c>
      <c r="I77" s="32" t="inlineStr">
        <is>
          <t>37ab6a8a-91b0-4819-9785-8eb49cdd342e</t>
        </is>
      </c>
      <c r="J77" s="32" t="inlineStr">
        <is>
          <t>qvf-app</t>
        </is>
      </c>
    </row>
    <row r="78">
      <c r="A78" s="37" t="inlineStr">
        <is>
          <t>Helpdesk Management</t>
        </is>
      </c>
      <c r="B78" s="37" t="inlineStr">
        <is>
          <t>TimeFormat</t>
        </is>
      </c>
      <c r="C78" s="43" t="inlineStr">
        <is>
          <t>h:mm:ss TT</t>
        </is>
      </c>
      <c r="D78" s="43" t="inlineStr"/>
      <c r="E78" s="37" t="inlineStr">
        <is>
          <t>NaN</t>
        </is>
      </c>
      <c r="F78" s="37" t="inlineStr">
        <is>
          <t>No</t>
        </is>
      </c>
      <c r="G78" s="37" t="inlineStr">
        <is>
          <t>Yes</t>
        </is>
      </c>
      <c r="H78" s="37" t="inlineStr">
        <is>
          <t>qvapp_variablelist</t>
        </is>
      </c>
      <c r="I78" s="37" t="inlineStr">
        <is>
          <t>4acaacad-79fa-417b-98d5-32fde29bcc39</t>
        </is>
      </c>
      <c r="J78" s="37" t="inlineStr">
        <is>
          <t>qvf-app</t>
        </is>
      </c>
    </row>
    <row r="79">
      <c r="A79" s="32" t="inlineStr">
        <is>
          <t>Helpdesk Management</t>
        </is>
      </c>
      <c r="B79" s="32" t="inlineStr">
        <is>
          <t>DateFormat</t>
        </is>
      </c>
      <c r="C79" s="42" t="inlineStr">
        <is>
          <t>M/D/YYYY</t>
        </is>
      </c>
      <c r="D79" s="42" t="inlineStr"/>
      <c r="E79" s="32" t="inlineStr">
        <is>
          <t>NaN</t>
        </is>
      </c>
      <c r="F79" s="32" t="inlineStr">
        <is>
          <t>No</t>
        </is>
      </c>
      <c r="G79" s="32" t="inlineStr">
        <is>
          <t>Yes</t>
        </is>
      </c>
      <c r="H79" s="32" t="inlineStr">
        <is>
          <t>qvapp_variablelist</t>
        </is>
      </c>
      <c r="I79" s="32" t="inlineStr">
        <is>
          <t>05acd155-070a-41a0-ac92-ad9e9b93c770</t>
        </is>
      </c>
      <c r="J79" s="32" t="inlineStr">
        <is>
          <t>qvf-app</t>
        </is>
      </c>
    </row>
    <row r="80">
      <c r="A80" s="37" t="inlineStr">
        <is>
          <t>Helpdesk Management</t>
        </is>
      </c>
      <c r="B80" s="37" t="inlineStr">
        <is>
          <t>TimestampFormat</t>
        </is>
      </c>
      <c r="C80" s="43" t="inlineStr">
        <is>
          <t>M/D/YYYY h:mm:ss[.fff] TT</t>
        </is>
      </c>
      <c r="D80" s="43" t="inlineStr"/>
      <c r="E80" s="37" t="inlineStr">
        <is>
          <t>NaN</t>
        </is>
      </c>
      <c r="F80" s="37" t="inlineStr">
        <is>
          <t>No</t>
        </is>
      </c>
      <c r="G80" s="37" t="inlineStr">
        <is>
          <t>Yes</t>
        </is>
      </c>
      <c r="H80" s="37" t="inlineStr">
        <is>
          <t>qvapp_variablelist</t>
        </is>
      </c>
      <c r="I80" s="37" t="inlineStr">
        <is>
          <t>d0f1bc63-3647-4e80-8939-7d5e55594957</t>
        </is>
      </c>
      <c r="J80" s="37" t="inlineStr">
        <is>
          <t>qvf-app</t>
        </is>
      </c>
    </row>
    <row r="81">
      <c r="A81" s="32" t="inlineStr">
        <is>
          <t>Helpdesk Management</t>
        </is>
      </c>
      <c r="B81" s="32" t="inlineStr">
        <is>
          <t>MonthNames</t>
        </is>
      </c>
      <c r="C81" s="42" t="inlineStr">
        <is>
          <t>Jan;Feb;Mar;Apr;May;Jun;Jul;Aug;Sep;Oct;Nov;Dec</t>
        </is>
      </c>
      <c r="D81" s="42" t="inlineStr"/>
      <c r="E81" s="32" t="inlineStr">
        <is>
          <t>NaN</t>
        </is>
      </c>
      <c r="F81" s="32" t="inlineStr">
        <is>
          <t>No</t>
        </is>
      </c>
      <c r="G81" s="32" t="inlineStr">
        <is>
          <t>Yes</t>
        </is>
      </c>
      <c r="H81" s="32" t="inlineStr">
        <is>
          <t>qvapp_variablelist</t>
        </is>
      </c>
      <c r="I81" s="32" t="inlineStr">
        <is>
          <t>472d4e74-4cf2-4a18-ab0f-46d9d3d14fda</t>
        </is>
      </c>
      <c r="J81" s="32" t="inlineStr">
        <is>
          <t>qvf-app</t>
        </is>
      </c>
    </row>
    <row r="82">
      <c r="A82" s="37" t="inlineStr">
        <is>
          <t>Helpdesk Management</t>
        </is>
      </c>
      <c r="B82" s="37" t="inlineStr">
        <is>
          <t>DayNames</t>
        </is>
      </c>
      <c r="C82" s="43" t="inlineStr">
        <is>
          <t>Mon;Tue;Wed;Thu;Fri;Sat;Sun</t>
        </is>
      </c>
      <c r="D82" s="43" t="inlineStr"/>
      <c r="E82" s="37" t="inlineStr">
        <is>
          <t>NaN</t>
        </is>
      </c>
      <c r="F82" s="37" t="inlineStr">
        <is>
          <t>No</t>
        </is>
      </c>
      <c r="G82" s="37" t="inlineStr">
        <is>
          <t>Yes</t>
        </is>
      </c>
      <c r="H82" s="37" t="inlineStr">
        <is>
          <t>qvapp_variablelist</t>
        </is>
      </c>
      <c r="I82" s="37" t="inlineStr">
        <is>
          <t>8f6e91ec-ad5b-42a4-abd0-56d17143b385</t>
        </is>
      </c>
      <c r="J82" s="37" t="inlineStr">
        <is>
          <t>qvf-app</t>
        </is>
      </c>
    </row>
    <row r="83">
      <c r="A83" s="32" t="inlineStr">
        <is>
          <t>Helpdesk Management</t>
        </is>
      </c>
      <c r="B83" s="32" t="inlineStr">
        <is>
          <t>vRunningDate</t>
        </is>
      </c>
      <c r="C83" s="42" t="inlineStr">
        <is>
          <t>=maxstring([Running Date])</t>
        </is>
      </c>
      <c r="D83" s="42" t="inlineStr"/>
      <c r="E83" s="32" t="inlineStr">
        <is>
          <t>NaN</t>
        </is>
      </c>
      <c r="F83" s="32" t="inlineStr">
        <is>
          <t>Yes</t>
        </is>
      </c>
      <c r="G83" s="32" t="inlineStr">
        <is>
          <t>Yes</t>
        </is>
      </c>
      <c r="H83" s="32" t="inlineStr">
        <is>
          <t>qvapp_variablelist</t>
        </is>
      </c>
      <c r="I83" s="32" t="inlineStr">
        <is>
          <t>fc2d4c98-65e3-4f76-b7c6-9e27ac96ce07</t>
        </is>
      </c>
      <c r="J83" s="32" t="inlineStr">
        <is>
          <t>qvf-app</t>
        </is>
      </c>
    </row>
    <row r="84">
      <c r="A84" s="37" t="inlineStr">
        <is>
          <t>Helpdesk Management</t>
        </is>
      </c>
      <c r="B84" s="37" t="inlineStr">
        <is>
          <t>vToday</t>
        </is>
      </c>
      <c r="C84" s="43" t="inlineStr">
        <is>
          <t>41084</t>
        </is>
      </c>
      <c r="D84" s="43" t="inlineStr"/>
      <c r="E84" s="39" t="n">
        <v>41084</v>
      </c>
      <c r="F84" s="37" t="inlineStr">
        <is>
          <t>No</t>
        </is>
      </c>
      <c r="G84" s="37" t="inlineStr">
        <is>
          <t>Yes</t>
        </is>
      </c>
      <c r="H84" s="37" t="inlineStr">
        <is>
          <t>qvapp_variablelist</t>
        </is>
      </c>
      <c r="I84" s="37" t="inlineStr">
        <is>
          <t>862f6372-fcb5-479a-a404-45bc98db259f</t>
        </is>
      </c>
      <c r="J84" s="37" t="inlineStr">
        <is>
          <t>qvf-app</t>
        </is>
      </c>
    </row>
    <row r="85">
      <c r="A85" s="32" t="inlineStr">
        <is>
          <t>Helpdesk Management</t>
        </is>
      </c>
      <c r="B85" s="32" t="inlineStr">
        <is>
          <t>vLanguage</t>
        </is>
      </c>
      <c r="C85" s="42" t="inlineStr">
        <is>
          <t>=Minstring(#LANGUAGE)</t>
        </is>
      </c>
      <c r="D85" s="42" t="inlineStr"/>
      <c r="E85" s="32" t="inlineStr">
        <is>
          <t>NaN</t>
        </is>
      </c>
      <c r="F85" s="32" t="inlineStr">
        <is>
          <t>Yes</t>
        </is>
      </c>
      <c r="G85" s="32" t="inlineStr">
        <is>
          <t>Yes</t>
        </is>
      </c>
      <c r="H85" s="32" t="inlineStr">
        <is>
          <t>qvapp_variablelist</t>
        </is>
      </c>
      <c r="I85" s="32" t="inlineStr">
        <is>
          <t>54a7625c-91f3-4e02-a11f-d7fbd8088ac2</t>
        </is>
      </c>
      <c r="J85" s="32" t="inlineStr">
        <is>
          <t>qvf-app</t>
        </is>
      </c>
    </row>
    <row r="86">
      <c r="A86" s="37" t="inlineStr">
        <is>
          <t>Helpdesk Management</t>
        </is>
      </c>
      <c r="B86" s="37" t="inlineStr">
        <is>
          <t>vinfo_on</t>
        </is>
      </c>
      <c r="C86" s="43" t="inlineStr">
        <is>
          <t>0</t>
        </is>
      </c>
      <c r="D86" s="43" t="inlineStr"/>
      <c r="E86" s="39" t="n">
        <v>0</v>
      </c>
      <c r="F86" s="37" t="inlineStr">
        <is>
          <t>No</t>
        </is>
      </c>
      <c r="G86" s="37" t="inlineStr">
        <is>
          <t>Yes</t>
        </is>
      </c>
      <c r="H86" s="37" t="inlineStr">
        <is>
          <t>qvapp_variablelist</t>
        </is>
      </c>
      <c r="I86" s="37" t="inlineStr">
        <is>
          <t>d1ac53a4-b9fe-469d-8043-288d08c7c606</t>
        </is>
      </c>
      <c r="J86" s="37" t="inlineStr">
        <is>
          <t>qvf-app</t>
        </is>
      </c>
    </row>
    <row r="87">
      <c r="A87" s="32" t="inlineStr">
        <is>
          <t>Helpdesk Management</t>
        </is>
      </c>
      <c r="B87" s="32" t="inlineStr">
        <is>
          <t>HidePrefix</t>
        </is>
      </c>
      <c r="C87" s="42" t="inlineStr">
        <is>
          <t>#</t>
        </is>
      </c>
      <c r="D87" s="42" t="inlineStr"/>
      <c r="E87" s="32" t="inlineStr">
        <is>
          <t>NaN</t>
        </is>
      </c>
      <c r="F87" s="32" t="inlineStr">
        <is>
          <t>No</t>
        </is>
      </c>
      <c r="G87" s="32" t="inlineStr">
        <is>
          <t>Yes</t>
        </is>
      </c>
      <c r="H87" s="32" t="inlineStr">
        <is>
          <t>qvapp_variablelist</t>
        </is>
      </c>
      <c r="I87" s="32" t="inlineStr">
        <is>
          <t>4a458ad7-7a03-4645-a387-83d787abd506</t>
        </is>
      </c>
      <c r="J87" s="32" t="inlineStr">
        <is>
          <t>qvf-app</t>
        </is>
      </c>
    </row>
    <row r="88">
      <c r="A88" s="37" t="inlineStr">
        <is>
          <t>Helpdesk Management</t>
        </is>
      </c>
      <c r="B88" s="37" t="inlineStr">
        <is>
          <t>FLOPPY</t>
        </is>
      </c>
      <c r="C88" s="43" t="inlineStr">
        <is>
          <t>D:</t>
        </is>
      </c>
      <c r="D88" s="43" t="inlineStr"/>
      <c r="E88" s="37" t="inlineStr">
        <is>
          <t>NaN</t>
        </is>
      </c>
      <c r="F88" s="37" t="inlineStr">
        <is>
          <t>No</t>
        </is>
      </c>
      <c r="G88" s="37" t="inlineStr">
        <is>
          <t>Yes</t>
        </is>
      </c>
      <c r="H88" s="37" t="inlineStr">
        <is>
          <t>qvapp_variablelist</t>
        </is>
      </c>
      <c r="I88" s="37" t="inlineStr">
        <is>
          <t>4d8194ce-bf9c-45ae-b13a-79bddfa86f9d</t>
        </is>
      </c>
      <c r="J88" s="37" t="inlineStr">
        <is>
          <t>qvf-app</t>
        </is>
      </c>
    </row>
    <row r="89">
      <c r="A89" s="32" t="inlineStr">
        <is>
          <t>Sales Analysis</t>
        </is>
      </c>
      <c r="B89" s="32" t="inlineStr">
        <is>
          <t>ErrorMode</t>
        </is>
      </c>
      <c r="C89" s="42" t="inlineStr"/>
      <c r="D89" s="42" t="inlineStr"/>
      <c r="E89" s="34" t="n">
        <v>1</v>
      </c>
      <c r="F89" s="32" t="inlineStr">
        <is>
          <t>No</t>
        </is>
      </c>
      <c r="G89" s="32" t="inlineStr">
        <is>
          <t>Yes</t>
        </is>
      </c>
      <c r="H89" s="32" t="inlineStr">
        <is>
          <t>qvapp_variablelist</t>
        </is>
      </c>
      <c r="I89" s="32" t="inlineStr">
        <is>
          <t>e57c6cd6-9920-4468-a9da-968a4599006a</t>
        </is>
      </c>
      <c r="J89" s="32" t="inlineStr">
        <is>
          <t>qvf-app</t>
        </is>
      </c>
    </row>
    <row r="90">
      <c r="A90" s="37" t="inlineStr">
        <is>
          <t>Sales Analysis</t>
        </is>
      </c>
      <c r="B90" s="37" t="inlineStr">
        <is>
          <t>StripComments</t>
        </is>
      </c>
      <c r="C90" s="43" t="inlineStr"/>
      <c r="D90" s="43" t="inlineStr"/>
      <c r="E90" s="39" t="n">
        <v>1</v>
      </c>
      <c r="F90" s="37" t="inlineStr">
        <is>
          <t>No</t>
        </is>
      </c>
      <c r="G90" s="37" t="inlineStr">
        <is>
          <t>Yes</t>
        </is>
      </c>
      <c r="H90" s="37" t="inlineStr">
        <is>
          <t>qvapp_variablelist</t>
        </is>
      </c>
      <c r="I90" s="37" t="inlineStr">
        <is>
          <t>bc13615f-69a2-4c70-b2e0-d0660beee210</t>
        </is>
      </c>
      <c r="J90" s="37" t="inlineStr">
        <is>
          <t>qvf-app</t>
        </is>
      </c>
    </row>
    <row r="91">
      <c r="A91" s="32" t="inlineStr">
        <is>
          <t>Sales Analysis</t>
        </is>
      </c>
      <c r="B91" s="32" t="inlineStr">
        <is>
          <t>OpenUrlTimeout</t>
        </is>
      </c>
      <c r="C91" s="42" t="inlineStr"/>
      <c r="D91" s="42" t="inlineStr"/>
      <c r="E91" s="34" t="n">
        <v>86400</v>
      </c>
      <c r="F91" s="32" t="inlineStr">
        <is>
          <t>No</t>
        </is>
      </c>
      <c r="G91" s="32" t="inlineStr">
        <is>
          <t>Yes</t>
        </is>
      </c>
      <c r="H91" s="32" t="inlineStr">
        <is>
          <t>qvapp_variablelist</t>
        </is>
      </c>
      <c r="I91" s="32" t="inlineStr">
        <is>
          <t>1022022a-54cf-4066-9684-dcf82f988518</t>
        </is>
      </c>
      <c r="J91" s="32" t="inlineStr">
        <is>
          <t>qvf-app</t>
        </is>
      </c>
    </row>
    <row r="92">
      <c r="A92" s="37" t="inlineStr">
        <is>
          <t>Sales Analysis</t>
        </is>
      </c>
      <c r="B92" s="37" t="inlineStr">
        <is>
          <t>ScriptErrorCount</t>
        </is>
      </c>
      <c r="C92" s="43" t="inlineStr">
        <is>
          <t>0</t>
        </is>
      </c>
      <c r="D92" s="43" t="inlineStr"/>
      <c r="E92" s="39" t="n">
        <v>0</v>
      </c>
      <c r="F92" s="37" t="inlineStr">
        <is>
          <t>No</t>
        </is>
      </c>
      <c r="G92" s="37" t="inlineStr">
        <is>
          <t>Yes</t>
        </is>
      </c>
      <c r="H92" s="37" t="inlineStr">
        <is>
          <t>qvapp_variablelist</t>
        </is>
      </c>
      <c r="I92" s="37" t="inlineStr">
        <is>
          <t>fb44eae3-cada-4ce2-af6c-13469514e901</t>
        </is>
      </c>
      <c r="J92" s="37" t="inlineStr">
        <is>
          <t>qvf-app</t>
        </is>
      </c>
    </row>
    <row r="93">
      <c r="A93" s="32" t="inlineStr">
        <is>
          <t>Sales Analysis</t>
        </is>
      </c>
      <c r="B93" s="32" t="inlineStr">
        <is>
          <t>ScriptErrorList</t>
        </is>
      </c>
      <c r="C93" s="42" t="inlineStr"/>
      <c r="D93" s="42" t="inlineStr"/>
      <c r="E93" s="32" t="inlineStr">
        <is>
          <t>NaN</t>
        </is>
      </c>
      <c r="F93" s="32" t="inlineStr">
        <is>
          <t>No</t>
        </is>
      </c>
      <c r="G93" s="32" t="inlineStr">
        <is>
          <t>Yes</t>
        </is>
      </c>
      <c r="H93" s="32" t="inlineStr">
        <is>
          <t>qvapp_variablelist</t>
        </is>
      </c>
      <c r="I93" s="32" t="inlineStr">
        <is>
          <t>0aae63b1-24f2-45f8-8342-c79ee29a55e5</t>
        </is>
      </c>
      <c r="J93" s="32" t="inlineStr">
        <is>
          <t>qvf-app</t>
        </is>
      </c>
    </row>
    <row r="94">
      <c r="A94" s="37" t="inlineStr">
        <is>
          <t>Sales Analysis</t>
        </is>
      </c>
      <c r="B94" s="37" t="inlineStr">
        <is>
          <t>ScriptError</t>
        </is>
      </c>
      <c r="C94" s="43" t="inlineStr"/>
      <c r="D94" s="43" t="inlineStr"/>
      <c r="E94" s="39" t="n">
        <v>0</v>
      </c>
      <c r="F94" s="37" t="inlineStr">
        <is>
          <t>No</t>
        </is>
      </c>
      <c r="G94" s="37" t="inlineStr">
        <is>
          <t>Yes</t>
        </is>
      </c>
      <c r="H94" s="37" t="inlineStr">
        <is>
          <t>qvapp_variablelist</t>
        </is>
      </c>
      <c r="I94" s="37" t="inlineStr">
        <is>
          <t>f19cfb23-7ecf-4087-b100-a2efb56a5367</t>
        </is>
      </c>
      <c r="J94" s="37" t="inlineStr">
        <is>
          <t>qvf-app</t>
        </is>
      </c>
    </row>
    <row r="95">
      <c r="A95" s="32" t="inlineStr">
        <is>
          <t>Sales Analysis</t>
        </is>
      </c>
      <c r="B95" s="32" t="inlineStr">
        <is>
          <t>ThousandSep</t>
        </is>
      </c>
      <c r="C95" s="42" t="inlineStr">
        <is>
          <t>.</t>
        </is>
      </c>
      <c r="D95" s="42" t="inlineStr"/>
      <c r="E95" s="32" t="inlineStr">
        <is>
          <t>NaN</t>
        </is>
      </c>
      <c r="F95" s="32" t="inlineStr">
        <is>
          <t>No</t>
        </is>
      </c>
      <c r="G95" s="32" t="inlineStr">
        <is>
          <t>Yes</t>
        </is>
      </c>
      <c r="H95" s="32" t="inlineStr">
        <is>
          <t>qvapp_variablelist</t>
        </is>
      </c>
      <c r="I95" s="32" t="inlineStr">
        <is>
          <t>e5a327ad-476d-42af-9049-1e6b7519c6d0</t>
        </is>
      </c>
      <c r="J95" s="32" t="inlineStr">
        <is>
          <t>qvf-app</t>
        </is>
      </c>
    </row>
    <row r="96">
      <c r="A96" s="37" t="inlineStr">
        <is>
          <t>Sales Analysis</t>
        </is>
      </c>
      <c r="B96" s="37" t="inlineStr">
        <is>
          <t>DecimalSep</t>
        </is>
      </c>
      <c r="C96" s="43" t="inlineStr">
        <is>
          <t>,</t>
        </is>
      </c>
      <c r="D96" s="43" t="inlineStr"/>
      <c r="E96" s="37" t="inlineStr">
        <is>
          <t>NaN</t>
        </is>
      </c>
      <c r="F96" s="37" t="inlineStr">
        <is>
          <t>No</t>
        </is>
      </c>
      <c r="G96" s="37" t="inlineStr">
        <is>
          <t>Yes</t>
        </is>
      </c>
      <c r="H96" s="37" t="inlineStr">
        <is>
          <t>qvapp_variablelist</t>
        </is>
      </c>
      <c r="I96" s="37" t="inlineStr">
        <is>
          <t>b6461f03-5834-4149-ad63-b9f69c1a3eaa</t>
        </is>
      </c>
      <c r="J96" s="37" t="inlineStr">
        <is>
          <t>qvf-app</t>
        </is>
      </c>
    </row>
    <row r="97">
      <c r="A97" s="32" t="inlineStr">
        <is>
          <t>Sales Analysis</t>
        </is>
      </c>
      <c r="B97" s="32" t="inlineStr">
        <is>
          <t>MoneyThousandSep</t>
        </is>
      </c>
      <c r="C97" s="42" t="inlineStr">
        <is>
          <t>.</t>
        </is>
      </c>
      <c r="D97" s="42" t="inlineStr"/>
      <c r="E97" s="32" t="inlineStr">
        <is>
          <t>NaN</t>
        </is>
      </c>
      <c r="F97" s="32" t="inlineStr">
        <is>
          <t>No</t>
        </is>
      </c>
      <c r="G97" s="32" t="inlineStr">
        <is>
          <t>Yes</t>
        </is>
      </c>
      <c r="H97" s="32" t="inlineStr">
        <is>
          <t>qvapp_variablelist</t>
        </is>
      </c>
      <c r="I97" s="32" t="inlineStr">
        <is>
          <t>240a190e-379d-486b-82f2-0d76c282156b</t>
        </is>
      </c>
      <c r="J97" s="32" t="inlineStr">
        <is>
          <t>qvf-app</t>
        </is>
      </c>
    </row>
    <row r="98">
      <c r="A98" s="37" t="inlineStr">
        <is>
          <t>Sales Analysis</t>
        </is>
      </c>
      <c r="B98" s="37" t="inlineStr">
        <is>
          <t>MoneyDecimalSep</t>
        </is>
      </c>
      <c r="C98" s="43" t="inlineStr">
        <is>
          <t>,</t>
        </is>
      </c>
      <c r="D98" s="43" t="inlineStr"/>
      <c r="E98" s="37" t="inlineStr">
        <is>
          <t>NaN</t>
        </is>
      </c>
      <c r="F98" s="37" t="inlineStr">
        <is>
          <t>No</t>
        </is>
      </c>
      <c r="G98" s="37" t="inlineStr">
        <is>
          <t>Yes</t>
        </is>
      </c>
      <c r="H98" s="37" t="inlineStr">
        <is>
          <t>qvapp_variablelist</t>
        </is>
      </c>
      <c r="I98" s="37" t="inlineStr">
        <is>
          <t>f5f538b5-3ff8-4113-b412-a310d34e3a52</t>
        </is>
      </c>
      <c r="J98" s="37" t="inlineStr">
        <is>
          <t>qvf-app</t>
        </is>
      </c>
    </row>
    <row r="99">
      <c r="A99" s="32" t="inlineStr">
        <is>
          <t>Sales Analysis</t>
        </is>
      </c>
      <c r="B99" s="32" t="inlineStr">
        <is>
          <t>MoneyFormat</t>
        </is>
      </c>
      <c r="C99" s="42" t="inlineStr">
        <is>
          <t>€ #.##0,00;-€ #.##0,00</t>
        </is>
      </c>
      <c r="D99" s="42" t="inlineStr"/>
      <c r="E99" s="32" t="inlineStr">
        <is>
          <t>NaN</t>
        </is>
      </c>
      <c r="F99" s="32" t="inlineStr">
        <is>
          <t>No</t>
        </is>
      </c>
      <c r="G99" s="32" t="inlineStr">
        <is>
          <t>Yes</t>
        </is>
      </c>
      <c r="H99" s="32" t="inlineStr">
        <is>
          <t>qvapp_variablelist</t>
        </is>
      </c>
      <c r="I99" s="32" t="inlineStr">
        <is>
          <t>6f751fd5-b363-40ab-bf12-12d2aa531264</t>
        </is>
      </c>
      <c r="J99" s="32" t="inlineStr">
        <is>
          <t>qvf-app</t>
        </is>
      </c>
    </row>
    <row r="100">
      <c r="A100" s="37" t="inlineStr">
        <is>
          <t>Sales Analysis</t>
        </is>
      </c>
      <c r="B100" s="37" t="inlineStr">
        <is>
          <t>TimeFormat</t>
        </is>
      </c>
      <c r="C100" s="43" t="inlineStr">
        <is>
          <t>hh:mm:ss</t>
        </is>
      </c>
      <c r="D100" s="43" t="inlineStr"/>
      <c r="E100" s="37" t="inlineStr">
        <is>
          <t>NaN</t>
        </is>
      </c>
      <c r="F100" s="37" t="inlineStr">
        <is>
          <t>No</t>
        </is>
      </c>
      <c r="G100" s="37" t="inlineStr">
        <is>
          <t>Yes</t>
        </is>
      </c>
      <c r="H100" s="37" t="inlineStr">
        <is>
          <t>qvapp_variablelist</t>
        </is>
      </c>
      <c r="I100" s="37" t="inlineStr">
        <is>
          <t>5d5ce757-e9e9-4851-aebb-e554cda0af84</t>
        </is>
      </c>
      <c r="J100" s="37" t="inlineStr">
        <is>
          <t>qvf-app</t>
        </is>
      </c>
    </row>
    <row r="101">
      <c r="A101" s="32" t="inlineStr">
        <is>
          <t>Sales Analysis</t>
        </is>
      </c>
      <c r="B101" s="32" t="inlineStr">
        <is>
          <t>DateFormat</t>
        </is>
      </c>
      <c r="C101" s="42" t="inlineStr">
        <is>
          <t>DD/MM/YYYY</t>
        </is>
      </c>
      <c r="D101" s="42" t="inlineStr"/>
      <c r="E101" s="32" t="inlineStr">
        <is>
          <t>NaN</t>
        </is>
      </c>
      <c r="F101" s="32" t="inlineStr">
        <is>
          <t>No</t>
        </is>
      </c>
      <c r="G101" s="32" t="inlineStr">
        <is>
          <t>Yes</t>
        </is>
      </c>
      <c r="H101" s="32" t="inlineStr">
        <is>
          <t>qvapp_variablelist</t>
        </is>
      </c>
      <c r="I101" s="32" t="inlineStr">
        <is>
          <t>ee71eed5-5488-484b-946e-9f9163ef9041</t>
        </is>
      </c>
      <c r="J101" s="32" t="inlineStr">
        <is>
          <t>qvf-app</t>
        </is>
      </c>
    </row>
    <row r="102">
      <c r="A102" s="37" t="inlineStr">
        <is>
          <t>Sales Analysis</t>
        </is>
      </c>
      <c r="B102" s="37" t="inlineStr">
        <is>
          <t>TimestampFormat</t>
        </is>
      </c>
      <c r="C102" s="43" t="inlineStr">
        <is>
          <t>DD/MM/YYYY hh:mm:ss[.fff]</t>
        </is>
      </c>
      <c r="D102" s="43" t="inlineStr"/>
      <c r="E102" s="37" t="inlineStr">
        <is>
          <t>NaN</t>
        </is>
      </c>
      <c r="F102" s="37" t="inlineStr">
        <is>
          <t>No</t>
        </is>
      </c>
      <c r="G102" s="37" t="inlineStr">
        <is>
          <t>Yes</t>
        </is>
      </c>
      <c r="H102" s="37" t="inlineStr">
        <is>
          <t>qvapp_variablelist</t>
        </is>
      </c>
      <c r="I102" s="37" t="inlineStr">
        <is>
          <t>15492f82-d1b8-408b-80c8-4e1276c1365b</t>
        </is>
      </c>
      <c r="J102" s="37" t="inlineStr">
        <is>
          <t>qvf-app</t>
        </is>
      </c>
    </row>
    <row r="103">
      <c r="A103" s="32" t="inlineStr">
        <is>
          <t>Sales Analysis</t>
        </is>
      </c>
      <c r="B103" s="32" t="inlineStr">
        <is>
          <t>MonthNames</t>
        </is>
      </c>
      <c r="C103" s="42" t="inlineStr">
        <is>
          <t>gen;feb;mar;apr;mag;giu;lug;ago;set;ott;nov;dic</t>
        </is>
      </c>
      <c r="D103" s="42" t="inlineStr"/>
      <c r="E103" s="32" t="inlineStr">
        <is>
          <t>NaN</t>
        </is>
      </c>
      <c r="F103" s="32" t="inlineStr">
        <is>
          <t>No</t>
        </is>
      </c>
      <c r="G103" s="32" t="inlineStr">
        <is>
          <t>Yes</t>
        </is>
      </c>
      <c r="H103" s="32" t="inlineStr">
        <is>
          <t>qvapp_variablelist</t>
        </is>
      </c>
      <c r="I103" s="32" t="inlineStr">
        <is>
          <t>f8a99760-717f-4fc3-8f3a-79b24ed4bb2a</t>
        </is>
      </c>
      <c r="J103" s="32" t="inlineStr">
        <is>
          <t>qvf-app</t>
        </is>
      </c>
    </row>
    <row r="104">
      <c r="A104" s="37" t="inlineStr">
        <is>
          <t>Sales Analysis</t>
        </is>
      </c>
      <c r="B104" s="37" t="inlineStr">
        <is>
          <t>DayNames</t>
        </is>
      </c>
      <c r="C104" s="43" t="inlineStr">
        <is>
          <t>lun;mar;mer;gio;ven;sab;dom</t>
        </is>
      </c>
      <c r="D104" s="43" t="inlineStr"/>
      <c r="E104" s="37" t="inlineStr">
        <is>
          <t>NaN</t>
        </is>
      </c>
      <c r="F104" s="37" t="inlineStr">
        <is>
          <t>No</t>
        </is>
      </c>
      <c r="G104" s="37" t="inlineStr">
        <is>
          <t>Yes</t>
        </is>
      </c>
      <c r="H104" s="37" t="inlineStr">
        <is>
          <t>qvapp_variablelist</t>
        </is>
      </c>
      <c r="I104" s="37" t="inlineStr">
        <is>
          <t>783af4a1-25b6-49c5-8509-2b959348d0df</t>
        </is>
      </c>
      <c r="J104" s="37" t="inlineStr">
        <is>
          <t>qvf-app</t>
        </is>
      </c>
    </row>
    <row r="105">
      <c r="A105" s="32" t="inlineStr">
        <is>
          <t>Sales Analysis</t>
        </is>
      </c>
      <c r="B105" s="32" t="inlineStr">
        <is>
          <t>LongMonthNames</t>
        </is>
      </c>
      <c r="C105" s="42" t="inlineStr">
        <is>
          <t>gennaio;febbraio;marzo;aprile;maggio;giugno;luglio;agosto;settembre;ottobre;novembre;dicembre</t>
        </is>
      </c>
      <c r="D105" s="42" t="inlineStr"/>
      <c r="E105" s="32" t="inlineStr">
        <is>
          <t>NaN</t>
        </is>
      </c>
      <c r="F105" s="32" t="inlineStr">
        <is>
          <t>No</t>
        </is>
      </c>
      <c r="G105" s="32" t="inlineStr">
        <is>
          <t>Yes</t>
        </is>
      </c>
      <c r="H105" s="32" t="inlineStr">
        <is>
          <t>qvapp_variablelist</t>
        </is>
      </c>
      <c r="I105" s="32" t="inlineStr">
        <is>
          <t>432f7da5-0bf8-4edb-bd44-29c815c2ef5e</t>
        </is>
      </c>
      <c r="J105" s="32" t="inlineStr">
        <is>
          <t>qvf-app</t>
        </is>
      </c>
    </row>
    <row r="106">
      <c r="A106" s="37" t="inlineStr">
        <is>
          <t>Sales Analysis</t>
        </is>
      </c>
      <c r="B106" s="37" t="inlineStr">
        <is>
          <t>LongDayNames</t>
        </is>
      </c>
      <c r="C106" s="43" t="inlineStr">
        <is>
          <t>lunedì;martedì;mercoledì;giovedì;venerdì;sabato;domenica</t>
        </is>
      </c>
      <c r="D106" s="43" t="inlineStr"/>
      <c r="E106" s="37" t="inlineStr">
        <is>
          <t>NaN</t>
        </is>
      </c>
      <c r="F106" s="37" t="inlineStr">
        <is>
          <t>No</t>
        </is>
      </c>
      <c r="G106" s="37" t="inlineStr">
        <is>
          <t>Yes</t>
        </is>
      </c>
      <c r="H106" s="37" t="inlineStr">
        <is>
          <t>qvapp_variablelist</t>
        </is>
      </c>
      <c r="I106" s="37" t="inlineStr">
        <is>
          <t>f86f15e1-27cd-4642-afe9-8b6001cfd704</t>
        </is>
      </c>
      <c r="J106" s="37" t="inlineStr">
        <is>
          <t>qvf-app</t>
        </is>
      </c>
    </row>
    <row r="107">
      <c r="A107" s="32" t="inlineStr">
        <is>
          <t>Sales Analysis</t>
        </is>
      </c>
      <c r="B107" s="32" t="inlineStr">
        <is>
          <t>FirstWeekDay</t>
        </is>
      </c>
      <c r="C107" s="42" t="inlineStr">
        <is>
          <t>0</t>
        </is>
      </c>
      <c r="D107" s="42" t="inlineStr"/>
      <c r="E107" s="34" t="n">
        <v>0</v>
      </c>
      <c r="F107" s="32" t="inlineStr">
        <is>
          <t>No</t>
        </is>
      </c>
      <c r="G107" s="32" t="inlineStr">
        <is>
          <t>Yes</t>
        </is>
      </c>
      <c r="H107" s="32" t="inlineStr">
        <is>
          <t>qvapp_variablelist</t>
        </is>
      </c>
      <c r="I107" s="32" t="inlineStr">
        <is>
          <t>97f71101-71b1-484d-ba11-54fb8fff1345</t>
        </is>
      </c>
      <c r="J107" s="32" t="inlineStr">
        <is>
          <t>qvf-app</t>
        </is>
      </c>
    </row>
    <row r="108">
      <c r="A108" s="37" t="inlineStr">
        <is>
          <t>Sales Analysis</t>
        </is>
      </c>
      <c r="B108" s="37" t="inlineStr">
        <is>
          <t>BrokenWeeks</t>
        </is>
      </c>
      <c r="C108" s="43" t="inlineStr">
        <is>
          <t>0</t>
        </is>
      </c>
      <c r="D108" s="43" t="inlineStr"/>
      <c r="E108" s="39" t="n">
        <v>0</v>
      </c>
      <c r="F108" s="37" t="inlineStr">
        <is>
          <t>No</t>
        </is>
      </c>
      <c r="G108" s="37" t="inlineStr">
        <is>
          <t>Yes</t>
        </is>
      </c>
      <c r="H108" s="37" t="inlineStr">
        <is>
          <t>qvapp_variablelist</t>
        </is>
      </c>
      <c r="I108" s="37" t="inlineStr">
        <is>
          <t>1bebf2c0-a521-445d-ab1e-962c97551cd8</t>
        </is>
      </c>
      <c r="J108" s="37" t="inlineStr">
        <is>
          <t>qvf-app</t>
        </is>
      </c>
    </row>
    <row r="109">
      <c r="A109" s="32" t="inlineStr">
        <is>
          <t>Sales Analysis</t>
        </is>
      </c>
      <c r="B109" s="32" t="inlineStr">
        <is>
          <t>ReferenceDay</t>
        </is>
      </c>
      <c r="C109" s="42" t="inlineStr">
        <is>
          <t>4</t>
        </is>
      </c>
      <c r="D109" s="42" t="inlineStr"/>
      <c r="E109" s="34" t="n">
        <v>4</v>
      </c>
      <c r="F109" s="32" t="inlineStr">
        <is>
          <t>No</t>
        </is>
      </c>
      <c r="G109" s="32" t="inlineStr">
        <is>
          <t>Yes</t>
        </is>
      </c>
      <c r="H109" s="32" t="inlineStr">
        <is>
          <t>qvapp_variablelist</t>
        </is>
      </c>
      <c r="I109" s="32" t="inlineStr">
        <is>
          <t>2963a42b-40be-4287-be79-5e2b5408bbb9</t>
        </is>
      </c>
      <c r="J109" s="32" t="inlineStr">
        <is>
          <t>qvf-app</t>
        </is>
      </c>
    </row>
    <row r="110">
      <c r="A110" s="37" t="inlineStr">
        <is>
          <t>Sales Analysis</t>
        </is>
      </c>
      <c r="B110" s="37" t="inlineStr">
        <is>
          <t>FirstMonthOfYear</t>
        </is>
      </c>
      <c r="C110" s="43" t="inlineStr">
        <is>
          <t>1</t>
        </is>
      </c>
      <c r="D110" s="43" t="inlineStr"/>
      <c r="E110" s="39" t="n">
        <v>1</v>
      </c>
      <c r="F110" s="37" t="inlineStr">
        <is>
          <t>No</t>
        </is>
      </c>
      <c r="G110" s="37" t="inlineStr">
        <is>
          <t>Yes</t>
        </is>
      </c>
      <c r="H110" s="37" t="inlineStr">
        <is>
          <t>qvapp_variablelist</t>
        </is>
      </c>
      <c r="I110" s="37" t="inlineStr">
        <is>
          <t>e031a7a4-e903-4474-807d-b45dd7e63683</t>
        </is>
      </c>
      <c r="J110" s="37" t="inlineStr">
        <is>
          <t>qvf-app</t>
        </is>
      </c>
    </row>
    <row r="111">
      <c r="A111" s="32" t="inlineStr">
        <is>
          <t>Sales Analysis</t>
        </is>
      </c>
      <c r="B111" s="32" t="inlineStr">
        <is>
          <t>CollationLocale</t>
        </is>
      </c>
      <c r="C111" s="42" t="inlineStr">
        <is>
          <t>it-IT</t>
        </is>
      </c>
      <c r="D111" s="42" t="inlineStr"/>
      <c r="E111" s="32" t="inlineStr">
        <is>
          <t>NaN</t>
        </is>
      </c>
      <c r="F111" s="32" t="inlineStr">
        <is>
          <t>No</t>
        </is>
      </c>
      <c r="G111" s="32" t="inlineStr">
        <is>
          <t>Yes</t>
        </is>
      </c>
      <c r="H111" s="32" t="inlineStr">
        <is>
          <t>qvapp_variablelist</t>
        </is>
      </c>
      <c r="I111" s="32" t="inlineStr">
        <is>
          <t>ff39b7a7-32f6-4b51-9d3b-fcb3db837d58</t>
        </is>
      </c>
      <c r="J111" s="32" t="inlineStr">
        <is>
          <t>qvf-app</t>
        </is>
      </c>
    </row>
    <row r="112">
      <c r="A112" s="37" t="inlineStr">
        <is>
          <t>Sales Analysis</t>
        </is>
      </c>
      <c r="B112" s="37" t="inlineStr">
        <is>
          <t>vMonth</t>
        </is>
      </c>
      <c r="C112" s="43" t="inlineStr">
        <is>
          <t>Num(Month(Today()), '00')</t>
        </is>
      </c>
      <c r="D112" s="43" t="inlineStr"/>
      <c r="E112" s="37" t="inlineStr">
        <is>
          <t>NaN</t>
        </is>
      </c>
      <c r="F112" s="37" t="inlineStr">
        <is>
          <t>No</t>
        </is>
      </c>
      <c r="G112" s="37" t="inlineStr">
        <is>
          <t>No</t>
        </is>
      </c>
      <c r="H112" s="37" t="inlineStr">
        <is>
          <t>user_variablelist</t>
        </is>
      </c>
      <c r="I112" s="37" t="inlineStr">
        <is>
          <t>BBaNKh</t>
        </is>
      </c>
      <c r="J112" s="37" t="inlineStr">
        <is>
          <t>qvf-app</t>
        </is>
      </c>
    </row>
    <row r="113">
      <c r="A113" s="32" t="inlineStr">
        <is>
          <t>TryConfigColorAndAgrField</t>
        </is>
      </c>
      <c r="B113" s="32" t="inlineStr">
        <is>
          <t>ErrorMode</t>
        </is>
      </c>
      <c r="C113" s="42" t="inlineStr"/>
      <c r="D113" s="42" t="inlineStr"/>
      <c r="E113" s="34" t="n">
        <v>1</v>
      </c>
      <c r="F113" s="32" t="inlineStr">
        <is>
          <t>No</t>
        </is>
      </c>
      <c r="G113" s="32" t="inlineStr">
        <is>
          <t>Yes</t>
        </is>
      </c>
      <c r="H113" s="32" t="inlineStr">
        <is>
          <t>qvapp_variablelist</t>
        </is>
      </c>
      <c r="I113" s="32" t="inlineStr">
        <is>
          <t>9eb614ca-2fe0-4818-a179-054c26d860ee</t>
        </is>
      </c>
      <c r="J113" s="32" t="inlineStr">
        <is>
          <t>qvf-app</t>
        </is>
      </c>
    </row>
    <row r="114">
      <c r="A114" s="37" t="inlineStr">
        <is>
          <t>TryConfigColorAndAgrField</t>
        </is>
      </c>
      <c r="B114" s="37" t="inlineStr">
        <is>
          <t>StripComments</t>
        </is>
      </c>
      <c r="C114" s="43" t="inlineStr"/>
      <c r="D114" s="43" t="inlineStr"/>
      <c r="E114" s="39" t="n">
        <v>1</v>
      </c>
      <c r="F114" s="37" t="inlineStr">
        <is>
          <t>No</t>
        </is>
      </c>
      <c r="G114" s="37" t="inlineStr">
        <is>
          <t>Yes</t>
        </is>
      </c>
      <c r="H114" s="37" t="inlineStr">
        <is>
          <t>qvapp_variablelist</t>
        </is>
      </c>
      <c r="I114" s="37" t="inlineStr">
        <is>
          <t>2bcb10ef-beee-45a8-8fb2-002b97058651</t>
        </is>
      </c>
      <c r="J114" s="37" t="inlineStr">
        <is>
          <t>qvf-app</t>
        </is>
      </c>
    </row>
    <row r="115">
      <c r="A115" s="32" t="inlineStr">
        <is>
          <t>TryConfigColorAndAgrField</t>
        </is>
      </c>
      <c r="B115" s="32" t="inlineStr">
        <is>
          <t>OpenUrlTimeout</t>
        </is>
      </c>
      <c r="C115" s="42" t="inlineStr"/>
      <c r="D115" s="42" t="inlineStr"/>
      <c r="E115" s="34" t="n">
        <v>86400</v>
      </c>
      <c r="F115" s="32" t="inlineStr">
        <is>
          <t>No</t>
        </is>
      </c>
      <c r="G115" s="32" t="inlineStr">
        <is>
          <t>Yes</t>
        </is>
      </c>
      <c r="H115" s="32" t="inlineStr">
        <is>
          <t>qvapp_variablelist</t>
        </is>
      </c>
      <c r="I115" s="32" t="inlineStr">
        <is>
          <t>89e24559-81df-4e08-a3a2-f0d19caa9297</t>
        </is>
      </c>
      <c r="J115" s="32" t="inlineStr">
        <is>
          <t>qvf-app</t>
        </is>
      </c>
    </row>
    <row r="116">
      <c r="A116" s="37" t="inlineStr">
        <is>
          <t>TryConfigColorAndAgrField</t>
        </is>
      </c>
      <c r="B116" s="37" t="inlineStr">
        <is>
          <t>ScriptErrorCount</t>
        </is>
      </c>
      <c r="C116" s="43" t="inlineStr">
        <is>
          <t>0</t>
        </is>
      </c>
      <c r="D116" s="43" t="inlineStr"/>
      <c r="E116" s="39" t="n">
        <v>0</v>
      </c>
      <c r="F116" s="37" t="inlineStr">
        <is>
          <t>No</t>
        </is>
      </c>
      <c r="G116" s="37" t="inlineStr">
        <is>
          <t>Yes</t>
        </is>
      </c>
      <c r="H116" s="37" t="inlineStr">
        <is>
          <t>qvapp_variablelist</t>
        </is>
      </c>
      <c r="I116" s="37" t="inlineStr">
        <is>
          <t>67bf2ffb-418c-48c9-a7a6-ee34efab5349</t>
        </is>
      </c>
      <c r="J116" s="37" t="inlineStr">
        <is>
          <t>qvf-app</t>
        </is>
      </c>
    </row>
    <row r="117">
      <c r="A117" s="32" t="inlineStr">
        <is>
          <t>TryConfigColorAndAgrField</t>
        </is>
      </c>
      <c r="B117" s="32" t="inlineStr">
        <is>
          <t>ScriptErrorList</t>
        </is>
      </c>
      <c r="C117" s="42" t="inlineStr"/>
      <c r="D117" s="42" t="inlineStr"/>
      <c r="E117" s="32" t="inlineStr">
        <is>
          <t>NaN</t>
        </is>
      </c>
      <c r="F117" s="32" t="inlineStr">
        <is>
          <t>No</t>
        </is>
      </c>
      <c r="G117" s="32" t="inlineStr">
        <is>
          <t>Yes</t>
        </is>
      </c>
      <c r="H117" s="32" t="inlineStr">
        <is>
          <t>qvapp_variablelist</t>
        </is>
      </c>
      <c r="I117" s="32" t="inlineStr">
        <is>
          <t>b55a8759-ad29-40db-aa1e-44369b9ddff2</t>
        </is>
      </c>
      <c r="J117" s="32" t="inlineStr">
        <is>
          <t>qvf-app</t>
        </is>
      </c>
    </row>
    <row r="118">
      <c r="A118" s="37" t="inlineStr">
        <is>
          <t>TryConfigColorAndAgrField</t>
        </is>
      </c>
      <c r="B118" s="37" t="inlineStr">
        <is>
          <t>ScriptError</t>
        </is>
      </c>
      <c r="C118" s="43" t="inlineStr"/>
      <c r="D118" s="43" t="inlineStr"/>
      <c r="E118" s="39" t="n">
        <v>0</v>
      </c>
      <c r="F118" s="37" t="inlineStr">
        <is>
          <t>No</t>
        </is>
      </c>
      <c r="G118" s="37" t="inlineStr">
        <is>
          <t>Yes</t>
        </is>
      </c>
      <c r="H118" s="37" t="inlineStr">
        <is>
          <t>qvapp_variablelist</t>
        </is>
      </c>
      <c r="I118" s="37" t="inlineStr">
        <is>
          <t>f5af9ddd-c4bf-475a-a610-5828802c3e3c</t>
        </is>
      </c>
      <c r="J118" s="37" t="inlineStr">
        <is>
          <t>qvf-app</t>
        </is>
      </c>
    </row>
    <row r="119">
      <c r="A119" s="32" t="inlineStr">
        <is>
          <t>TryConfigColorAndAgrField</t>
        </is>
      </c>
      <c r="B119" s="32" t="inlineStr">
        <is>
          <t>ThousandSep</t>
        </is>
      </c>
      <c r="C119" s="42" t="inlineStr">
        <is>
          <t>.</t>
        </is>
      </c>
      <c r="D119" s="42" t="inlineStr"/>
      <c r="E119" s="32" t="inlineStr">
        <is>
          <t>NaN</t>
        </is>
      </c>
      <c r="F119" s="32" t="inlineStr">
        <is>
          <t>No</t>
        </is>
      </c>
      <c r="G119" s="32" t="inlineStr">
        <is>
          <t>Yes</t>
        </is>
      </c>
      <c r="H119" s="32" t="inlineStr">
        <is>
          <t>qvapp_variablelist</t>
        </is>
      </c>
      <c r="I119" s="32" t="inlineStr">
        <is>
          <t>ac234cc2-3fbb-47b6-8970-cccde7f1c766</t>
        </is>
      </c>
      <c r="J119" s="32" t="inlineStr">
        <is>
          <t>qvf-app</t>
        </is>
      </c>
    </row>
    <row r="120">
      <c r="A120" s="37" t="inlineStr">
        <is>
          <t>TryConfigColorAndAgrField</t>
        </is>
      </c>
      <c r="B120" s="37" t="inlineStr">
        <is>
          <t>DecimalSep</t>
        </is>
      </c>
      <c r="C120" s="43" t="inlineStr">
        <is>
          <t>,</t>
        </is>
      </c>
      <c r="D120" s="43" t="inlineStr"/>
      <c r="E120" s="37" t="inlineStr">
        <is>
          <t>NaN</t>
        </is>
      </c>
      <c r="F120" s="37" t="inlineStr">
        <is>
          <t>No</t>
        </is>
      </c>
      <c r="G120" s="37" t="inlineStr">
        <is>
          <t>Yes</t>
        </is>
      </c>
      <c r="H120" s="37" t="inlineStr">
        <is>
          <t>qvapp_variablelist</t>
        </is>
      </c>
      <c r="I120" s="37" t="inlineStr">
        <is>
          <t>9d9192a7-bc5d-4338-a54d-53ccab02d0f9</t>
        </is>
      </c>
      <c r="J120" s="37" t="inlineStr">
        <is>
          <t>qvf-app</t>
        </is>
      </c>
    </row>
    <row r="121">
      <c r="A121" s="32" t="inlineStr">
        <is>
          <t>TryConfigColorAndAgrField</t>
        </is>
      </c>
      <c r="B121" s="32" t="inlineStr">
        <is>
          <t>MoneyThousandSep</t>
        </is>
      </c>
      <c r="C121" s="42" t="inlineStr">
        <is>
          <t>.</t>
        </is>
      </c>
      <c r="D121" s="42" t="inlineStr"/>
      <c r="E121" s="32" t="inlineStr">
        <is>
          <t>NaN</t>
        </is>
      </c>
      <c r="F121" s="32" t="inlineStr">
        <is>
          <t>No</t>
        </is>
      </c>
      <c r="G121" s="32" t="inlineStr">
        <is>
          <t>Yes</t>
        </is>
      </c>
      <c r="H121" s="32" t="inlineStr">
        <is>
          <t>qvapp_variablelist</t>
        </is>
      </c>
      <c r="I121" s="32" t="inlineStr">
        <is>
          <t>ac38f0aa-4431-4468-b442-5bf0676a40e6</t>
        </is>
      </c>
      <c r="J121" s="32" t="inlineStr">
        <is>
          <t>qvf-app</t>
        </is>
      </c>
    </row>
    <row r="122">
      <c r="A122" s="37" t="inlineStr">
        <is>
          <t>TryConfigColorAndAgrField</t>
        </is>
      </c>
      <c r="B122" s="37" t="inlineStr">
        <is>
          <t>MoneyDecimalSep</t>
        </is>
      </c>
      <c r="C122" s="43" t="inlineStr">
        <is>
          <t>,</t>
        </is>
      </c>
      <c r="D122" s="43" t="inlineStr"/>
      <c r="E122" s="37" t="inlineStr">
        <is>
          <t>NaN</t>
        </is>
      </c>
      <c r="F122" s="37" t="inlineStr">
        <is>
          <t>No</t>
        </is>
      </c>
      <c r="G122" s="37" t="inlineStr">
        <is>
          <t>Yes</t>
        </is>
      </c>
      <c r="H122" s="37" t="inlineStr">
        <is>
          <t>qvapp_variablelist</t>
        </is>
      </c>
      <c r="I122" s="37" t="inlineStr">
        <is>
          <t>19cdb6cd-13c8-464e-a774-708281ed4ab5</t>
        </is>
      </c>
      <c r="J122" s="37" t="inlineStr">
        <is>
          <t>qvf-app</t>
        </is>
      </c>
    </row>
    <row r="123">
      <c r="A123" s="32" t="inlineStr">
        <is>
          <t>TryConfigColorAndAgrField</t>
        </is>
      </c>
      <c r="B123" s="32" t="inlineStr">
        <is>
          <t>MoneyFormat</t>
        </is>
      </c>
      <c r="C123" s="42" t="inlineStr">
        <is>
          <t>€ #.##0,00;-€ #.##0,00</t>
        </is>
      </c>
      <c r="D123" s="42" t="inlineStr"/>
      <c r="E123" s="32" t="inlineStr">
        <is>
          <t>NaN</t>
        </is>
      </c>
      <c r="F123" s="32" t="inlineStr">
        <is>
          <t>No</t>
        </is>
      </c>
      <c r="G123" s="32" t="inlineStr">
        <is>
          <t>Yes</t>
        </is>
      </c>
      <c r="H123" s="32" t="inlineStr">
        <is>
          <t>qvapp_variablelist</t>
        </is>
      </c>
      <c r="I123" s="32" t="inlineStr">
        <is>
          <t>042bd11b-9624-47b3-8c0a-f8a3f04f2adc</t>
        </is>
      </c>
      <c r="J123" s="32" t="inlineStr">
        <is>
          <t>qvf-app</t>
        </is>
      </c>
    </row>
    <row r="124">
      <c r="A124" s="37" t="inlineStr">
        <is>
          <t>TryConfigColorAndAgrField</t>
        </is>
      </c>
      <c r="B124" s="37" t="inlineStr">
        <is>
          <t>TimeFormat</t>
        </is>
      </c>
      <c r="C124" s="43" t="inlineStr">
        <is>
          <t>hh:mm:ss</t>
        </is>
      </c>
      <c r="D124" s="43" t="inlineStr"/>
      <c r="E124" s="37" t="inlineStr">
        <is>
          <t>NaN</t>
        </is>
      </c>
      <c r="F124" s="37" t="inlineStr">
        <is>
          <t>No</t>
        </is>
      </c>
      <c r="G124" s="37" t="inlineStr">
        <is>
          <t>Yes</t>
        </is>
      </c>
      <c r="H124" s="37" t="inlineStr">
        <is>
          <t>qvapp_variablelist</t>
        </is>
      </c>
      <c r="I124" s="37" t="inlineStr">
        <is>
          <t>923c39a2-f961-4823-8541-2d7f3b528f91</t>
        </is>
      </c>
      <c r="J124" s="37" t="inlineStr">
        <is>
          <t>qvf-app</t>
        </is>
      </c>
    </row>
    <row r="125">
      <c r="A125" s="32" t="inlineStr">
        <is>
          <t>TryConfigColorAndAgrField</t>
        </is>
      </c>
      <c r="B125" s="32" t="inlineStr">
        <is>
          <t>DateFormat</t>
        </is>
      </c>
      <c r="C125" s="42" t="inlineStr">
        <is>
          <t>DD/MM/YYYY</t>
        </is>
      </c>
      <c r="D125" s="42" t="inlineStr"/>
      <c r="E125" s="32" t="inlineStr">
        <is>
          <t>NaN</t>
        </is>
      </c>
      <c r="F125" s="32" t="inlineStr">
        <is>
          <t>No</t>
        </is>
      </c>
      <c r="G125" s="32" t="inlineStr">
        <is>
          <t>Yes</t>
        </is>
      </c>
      <c r="H125" s="32" t="inlineStr">
        <is>
          <t>qvapp_variablelist</t>
        </is>
      </c>
      <c r="I125" s="32" t="inlineStr">
        <is>
          <t>622d608e-3c7d-4ae1-b405-3a4c33c3163f</t>
        </is>
      </c>
      <c r="J125" s="32" t="inlineStr">
        <is>
          <t>qvf-app</t>
        </is>
      </c>
    </row>
    <row r="126">
      <c r="A126" s="37" t="inlineStr">
        <is>
          <t>TryConfigColorAndAgrField</t>
        </is>
      </c>
      <c r="B126" s="37" t="inlineStr">
        <is>
          <t>TimestampFormat</t>
        </is>
      </c>
      <c r="C126" s="43" t="inlineStr">
        <is>
          <t>DD/MM/YYYY hh:mm:ss[.fff]</t>
        </is>
      </c>
      <c r="D126" s="43" t="inlineStr"/>
      <c r="E126" s="37" t="inlineStr">
        <is>
          <t>NaN</t>
        </is>
      </c>
      <c r="F126" s="37" t="inlineStr">
        <is>
          <t>No</t>
        </is>
      </c>
      <c r="G126" s="37" t="inlineStr">
        <is>
          <t>Yes</t>
        </is>
      </c>
      <c r="H126" s="37" t="inlineStr">
        <is>
          <t>qvapp_variablelist</t>
        </is>
      </c>
      <c r="I126" s="37" t="inlineStr">
        <is>
          <t>cabad24f-21c8-4469-be61-386113bb4343</t>
        </is>
      </c>
      <c r="J126" s="37" t="inlineStr">
        <is>
          <t>qvf-app</t>
        </is>
      </c>
    </row>
    <row r="127">
      <c r="A127" s="32" t="inlineStr">
        <is>
          <t>TryConfigColorAndAgrField</t>
        </is>
      </c>
      <c r="B127" s="32" t="inlineStr">
        <is>
          <t>MonthNames</t>
        </is>
      </c>
      <c r="C127" s="42" t="inlineStr">
        <is>
          <t>gen;feb;mar;apr;mag;giu;lug;ago;set;ott;nov;dic</t>
        </is>
      </c>
      <c r="D127" s="42" t="inlineStr"/>
      <c r="E127" s="32" t="inlineStr">
        <is>
          <t>NaN</t>
        </is>
      </c>
      <c r="F127" s="32" t="inlineStr">
        <is>
          <t>No</t>
        </is>
      </c>
      <c r="G127" s="32" t="inlineStr">
        <is>
          <t>Yes</t>
        </is>
      </c>
      <c r="H127" s="32" t="inlineStr">
        <is>
          <t>qvapp_variablelist</t>
        </is>
      </c>
      <c r="I127" s="32" t="inlineStr">
        <is>
          <t>f64c5188-7819-426e-8247-524e19eee401</t>
        </is>
      </c>
      <c r="J127" s="32" t="inlineStr">
        <is>
          <t>qvf-app</t>
        </is>
      </c>
    </row>
    <row r="128">
      <c r="A128" s="37" t="inlineStr">
        <is>
          <t>TryConfigColorAndAgrField</t>
        </is>
      </c>
      <c r="B128" s="37" t="inlineStr">
        <is>
          <t>DayNames</t>
        </is>
      </c>
      <c r="C128" s="43" t="inlineStr">
        <is>
          <t>lun;mar;mer;gio;ven;sab;dom</t>
        </is>
      </c>
      <c r="D128" s="43" t="inlineStr"/>
      <c r="E128" s="37" t="inlineStr">
        <is>
          <t>NaN</t>
        </is>
      </c>
      <c r="F128" s="37" t="inlineStr">
        <is>
          <t>No</t>
        </is>
      </c>
      <c r="G128" s="37" t="inlineStr">
        <is>
          <t>Yes</t>
        </is>
      </c>
      <c r="H128" s="37" t="inlineStr">
        <is>
          <t>qvapp_variablelist</t>
        </is>
      </c>
      <c r="I128" s="37" t="inlineStr">
        <is>
          <t>6dd77235-adb8-4560-95b6-dd48d6d12d82</t>
        </is>
      </c>
      <c r="J128" s="37" t="inlineStr">
        <is>
          <t>qvf-app</t>
        </is>
      </c>
    </row>
    <row r="129">
      <c r="A129" s="32" t="inlineStr">
        <is>
          <t>TryConfigColorAndAgrField</t>
        </is>
      </c>
      <c r="B129" s="32" t="inlineStr">
        <is>
          <t>LongMonthNames</t>
        </is>
      </c>
      <c r="C129" s="42" t="inlineStr">
        <is>
          <t>gennaio;febbraio;marzo;aprile;maggio;giugno;luglio;agosto;settembre;ottobre;novembre;dicembre</t>
        </is>
      </c>
      <c r="D129" s="42" t="inlineStr"/>
      <c r="E129" s="32" t="inlineStr">
        <is>
          <t>NaN</t>
        </is>
      </c>
      <c r="F129" s="32" t="inlineStr">
        <is>
          <t>No</t>
        </is>
      </c>
      <c r="G129" s="32" t="inlineStr">
        <is>
          <t>Yes</t>
        </is>
      </c>
      <c r="H129" s="32" t="inlineStr">
        <is>
          <t>qvapp_variablelist</t>
        </is>
      </c>
      <c r="I129" s="32" t="inlineStr">
        <is>
          <t>c17e865c-2929-42c8-8b2d-0deed3ae1f31</t>
        </is>
      </c>
      <c r="J129" s="32" t="inlineStr">
        <is>
          <t>qvf-app</t>
        </is>
      </c>
    </row>
    <row r="130">
      <c r="A130" s="37" t="inlineStr">
        <is>
          <t>TryConfigColorAndAgrField</t>
        </is>
      </c>
      <c r="B130" s="37" t="inlineStr">
        <is>
          <t>LongDayNames</t>
        </is>
      </c>
      <c r="C130" s="43" t="inlineStr">
        <is>
          <t>lunedì;martedì;mercoledì;giovedì;venerdì;sabato;domenica</t>
        </is>
      </c>
      <c r="D130" s="43" t="inlineStr"/>
      <c r="E130" s="37" t="inlineStr">
        <is>
          <t>NaN</t>
        </is>
      </c>
      <c r="F130" s="37" t="inlineStr">
        <is>
          <t>No</t>
        </is>
      </c>
      <c r="G130" s="37" t="inlineStr">
        <is>
          <t>Yes</t>
        </is>
      </c>
      <c r="H130" s="37" t="inlineStr">
        <is>
          <t>qvapp_variablelist</t>
        </is>
      </c>
      <c r="I130" s="37" t="inlineStr">
        <is>
          <t>8e72ec48-e459-47b3-9cc4-d9e9f02e2c42</t>
        </is>
      </c>
      <c r="J130" s="37" t="inlineStr">
        <is>
          <t>qvf-app</t>
        </is>
      </c>
    </row>
    <row r="131">
      <c r="A131" s="32" t="inlineStr">
        <is>
          <t>TryConfigColorAndAgrField</t>
        </is>
      </c>
      <c r="B131" s="32" t="inlineStr">
        <is>
          <t>FirstWeekDay</t>
        </is>
      </c>
      <c r="C131" s="42" t="inlineStr">
        <is>
          <t>0</t>
        </is>
      </c>
      <c r="D131" s="42" t="inlineStr"/>
      <c r="E131" s="34" t="n">
        <v>0</v>
      </c>
      <c r="F131" s="32" t="inlineStr">
        <is>
          <t>No</t>
        </is>
      </c>
      <c r="G131" s="32" t="inlineStr">
        <is>
          <t>Yes</t>
        </is>
      </c>
      <c r="H131" s="32" t="inlineStr">
        <is>
          <t>qvapp_variablelist</t>
        </is>
      </c>
      <c r="I131" s="32" t="inlineStr">
        <is>
          <t>fdf73191-d1d7-4812-9335-666389c17439</t>
        </is>
      </c>
      <c r="J131" s="32" t="inlineStr">
        <is>
          <t>qvf-app</t>
        </is>
      </c>
    </row>
    <row r="132">
      <c r="A132" s="37" t="inlineStr">
        <is>
          <t>TryConfigColorAndAgrField</t>
        </is>
      </c>
      <c r="B132" s="37" t="inlineStr">
        <is>
          <t>BrokenWeeks</t>
        </is>
      </c>
      <c r="C132" s="43" t="inlineStr">
        <is>
          <t>0</t>
        </is>
      </c>
      <c r="D132" s="43" t="inlineStr"/>
      <c r="E132" s="39" t="n">
        <v>0</v>
      </c>
      <c r="F132" s="37" t="inlineStr">
        <is>
          <t>No</t>
        </is>
      </c>
      <c r="G132" s="37" t="inlineStr">
        <is>
          <t>Yes</t>
        </is>
      </c>
      <c r="H132" s="37" t="inlineStr">
        <is>
          <t>qvapp_variablelist</t>
        </is>
      </c>
      <c r="I132" s="37" t="inlineStr">
        <is>
          <t>d263e4aa-31b8-4f0f-a881-fd3b4c15e4be</t>
        </is>
      </c>
      <c r="J132" s="37" t="inlineStr">
        <is>
          <t>qvf-app</t>
        </is>
      </c>
    </row>
    <row r="133">
      <c r="A133" s="32" t="inlineStr">
        <is>
          <t>TryConfigColorAndAgrField</t>
        </is>
      </c>
      <c r="B133" s="32" t="inlineStr">
        <is>
          <t>ReferenceDay</t>
        </is>
      </c>
      <c r="C133" s="42" t="inlineStr">
        <is>
          <t>4</t>
        </is>
      </c>
      <c r="D133" s="42" t="inlineStr"/>
      <c r="E133" s="34" t="n">
        <v>4</v>
      </c>
      <c r="F133" s="32" t="inlineStr">
        <is>
          <t>No</t>
        </is>
      </c>
      <c r="G133" s="32" t="inlineStr">
        <is>
          <t>Yes</t>
        </is>
      </c>
      <c r="H133" s="32" t="inlineStr">
        <is>
          <t>qvapp_variablelist</t>
        </is>
      </c>
      <c r="I133" s="32" t="inlineStr">
        <is>
          <t>8dd16b7d-5acf-4695-9dab-031a21e7e3b3</t>
        </is>
      </c>
      <c r="J133" s="32" t="inlineStr">
        <is>
          <t>qvf-app</t>
        </is>
      </c>
    </row>
    <row r="134">
      <c r="A134" s="37" t="inlineStr">
        <is>
          <t>TryConfigColorAndAgrField</t>
        </is>
      </c>
      <c r="B134" s="37" t="inlineStr">
        <is>
          <t>FirstMonthOfYear</t>
        </is>
      </c>
      <c r="C134" s="43" t="inlineStr">
        <is>
          <t>1</t>
        </is>
      </c>
      <c r="D134" s="43" t="inlineStr"/>
      <c r="E134" s="39" t="n">
        <v>1</v>
      </c>
      <c r="F134" s="37" t="inlineStr">
        <is>
          <t>No</t>
        </is>
      </c>
      <c r="G134" s="37" t="inlineStr">
        <is>
          <t>Yes</t>
        </is>
      </c>
      <c r="H134" s="37" t="inlineStr">
        <is>
          <t>qvapp_variablelist</t>
        </is>
      </c>
      <c r="I134" s="37" t="inlineStr">
        <is>
          <t>4e4d6ebc-859a-44ba-ae42-6495c4f8e968</t>
        </is>
      </c>
      <c r="J134" s="37" t="inlineStr">
        <is>
          <t>qvf-app</t>
        </is>
      </c>
    </row>
    <row r="135">
      <c r="A135" s="32" t="inlineStr">
        <is>
          <t>TryConfigColorAndAgrField</t>
        </is>
      </c>
      <c r="B135" s="32" t="inlineStr">
        <is>
          <t>CollationLocale</t>
        </is>
      </c>
      <c r="C135" s="42" t="inlineStr">
        <is>
          <t>it-IT</t>
        </is>
      </c>
      <c r="D135" s="42" t="inlineStr"/>
      <c r="E135" s="32" t="inlineStr">
        <is>
          <t>NaN</t>
        </is>
      </c>
      <c r="F135" s="32" t="inlineStr">
        <is>
          <t>No</t>
        </is>
      </c>
      <c r="G135" s="32" t="inlineStr">
        <is>
          <t>Yes</t>
        </is>
      </c>
      <c r="H135" s="32" t="inlineStr">
        <is>
          <t>qvapp_variablelist</t>
        </is>
      </c>
      <c r="I135" s="32" t="inlineStr">
        <is>
          <t>8d0e3513-1662-49f6-8b99-52770d08c61e</t>
        </is>
      </c>
      <c r="J135" s="32" t="inlineStr">
        <is>
          <t>qvf-app</t>
        </is>
      </c>
    </row>
    <row r="136">
      <c r="A136" s="37" t="inlineStr">
        <is>
          <t>TryConfigColorAndAgrField</t>
        </is>
      </c>
      <c r="B136" s="37" t="inlineStr">
        <is>
          <t>vDefaultTipoPrezzo</t>
        </is>
      </c>
      <c r="C136" s="43" t="inlineStr">
        <is>
          <t>PrezzoAcquisto</t>
        </is>
      </c>
      <c r="D136" s="43" t="inlineStr"/>
      <c r="E136" s="37" t="inlineStr">
        <is>
          <t>NaN</t>
        </is>
      </c>
      <c r="F136" s="37" t="inlineStr">
        <is>
          <t>No</t>
        </is>
      </c>
      <c r="G136" s="37" t="inlineStr">
        <is>
          <t>Yes</t>
        </is>
      </c>
      <c r="H136" s="37" t="inlineStr">
        <is>
          <t>qvapp_variablelist</t>
        </is>
      </c>
      <c r="I136" s="37" t="inlineStr">
        <is>
          <t>c68e1e92-c355-4ecf-9f22-54d0af34e7f1</t>
        </is>
      </c>
      <c r="J136" s="37" t="inlineStr">
        <is>
          <t>qvf-app</t>
        </is>
      </c>
    </row>
    <row r="137">
      <c r="A137" s="32" t="inlineStr">
        <is>
          <t>TryExtensions</t>
        </is>
      </c>
      <c r="B137" s="32" t="inlineStr">
        <is>
          <t>ErrorMode</t>
        </is>
      </c>
      <c r="C137" s="42" t="inlineStr"/>
      <c r="D137" s="42" t="inlineStr"/>
      <c r="E137" s="34" t="n">
        <v>1</v>
      </c>
      <c r="F137" s="32" t="inlineStr">
        <is>
          <t>No</t>
        </is>
      </c>
      <c r="G137" s="32" t="inlineStr">
        <is>
          <t>Yes</t>
        </is>
      </c>
      <c r="H137" s="32" t="inlineStr">
        <is>
          <t>qvapp_variablelist</t>
        </is>
      </c>
      <c r="I137" s="32" t="inlineStr">
        <is>
          <t>ec7a44b2-c2d3-48f1-a02f-c403a273542b</t>
        </is>
      </c>
      <c r="J137" s="32" t="inlineStr">
        <is>
          <t>qvf-app</t>
        </is>
      </c>
    </row>
    <row r="138">
      <c r="A138" s="37" t="inlineStr">
        <is>
          <t>TryExtensions</t>
        </is>
      </c>
      <c r="B138" s="37" t="inlineStr">
        <is>
          <t>StripComments</t>
        </is>
      </c>
      <c r="C138" s="43" t="inlineStr"/>
      <c r="D138" s="43" t="inlineStr"/>
      <c r="E138" s="39" t="n">
        <v>1</v>
      </c>
      <c r="F138" s="37" t="inlineStr">
        <is>
          <t>No</t>
        </is>
      </c>
      <c r="G138" s="37" t="inlineStr">
        <is>
          <t>Yes</t>
        </is>
      </c>
      <c r="H138" s="37" t="inlineStr">
        <is>
          <t>qvapp_variablelist</t>
        </is>
      </c>
      <c r="I138" s="37" t="inlineStr">
        <is>
          <t>4b06d4b8-2880-4154-9c7a-6e68894abbaa</t>
        </is>
      </c>
      <c r="J138" s="37" t="inlineStr">
        <is>
          <t>qvf-app</t>
        </is>
      </c>
    </row>
    <row r="139">
      <c r="A139" s="32" t="inlineStr">
        <is>
          <t>TryExtensions</t>
        </is>
      </c>
      <c r="B139" s="32" t="inlineStr">
        <is>
          <t>OpenUrlTimeout</t>
        </is>
      </c>
      <c r="C139" s="42" t="inlineStr"/>
      <c r="D139" s="42" t="inlineStr"/>
      <c r="E139" s="34" t="n">
        <v>86400</v>
      </c>
      <c r="F139" s="32" t="inlineStr">
        <is>
          <t>No</t>
        </is>
      </c>
      <c r="G139" s="32" t="inlineStr">
        <is>
          <t>Yes</t>
        </is>
      </c>
      <c r="H139" s="32" t="inlineStr">
        <is>
          <t>qvapp_variablelist</t>
        </is>
      </c>
      <c r="I139" s="32" t="inlineStr">
        <is>
          <t>adee9851-0e20-42b1-912e-c8efd3650a75</t>
        </is>
      </c>
      <c r="J139" s="32" t="inlineStr">
        <is>
          <t>qvf-app</t>
        </is>
      </c>
    </row>
    <row r="140">
      <c r="A140" s="37" t="inlineStr">
        <is>
          <t>TryExtensions</t>
        </is>
      </c>
      <c r="B140" s="37" t="inlineStr">
        <is>
          <t>ScriptErrorCount</t>
        </is>
      </c>
      <c r="C140" s="43" t="inlineStr">
        <is>
          <t>0</t>
        </is>
      </c>
      <c r="D140" s="43" t="inlineStr"/>
      <c r="E140" s="39" t="n">
        <v>0</v>
      </c>
      <c r="F140" s="37" t="inlineStr">
        <is>
          <t>No</t>
        </is>
      </c>
      <c r="G140" s="37" t="inlineStr">
        <is>
          <t>Yes</t>
        </is>
      </c>
      <c r="H140" s="37" t="inlineStr">
        <is>
          <t>qvapp_variablelist</t>
        </is>
      </c>
      <c r="I140" s="37" t="inlineStr">
        <is>
          <t>ec74bfd4-eab3-45d9-9c40-b66c09c733ef</t>
        </is>
      </c>
      <c r="J140" s="37" t="inlineStr">
        <is>
          <t>qvf-app</t>
        </is>
      </c>
    </row>
    <row r="141">
      <c r="A141" s="32" t="inlineStr">
        <is>
          <t>TryExtensions</t>
        </is>
      </c>
      <c r="B141" s="32" t="inlineStr">
        <is>
          <t>ScriptErrorList</t>
        </is>
      </c>
      <c r="C141" s="42" t="inlineStr"/>
      <c r="D141" s="42" t="inlineStr"/>
      <c r="E141" s="32" t="inlineStr">
        <is>
          <t>NaN</t>
        </is>
      </c>
      <c r="F141" s="32" t="inlineStr">
        <is>
          <t>No</t>
        </is>
      </c>
      <c r="G141" s="32" t="inlineStr">
        <is>
          <t>Yes</t>
        </is>
      </c>
      <c r="H141" s="32" t="inlineStr">
        <is>
          <t>qvapp_variablelist</t>
        </is>
      </c>
      <c r="I141" s="32" t="inlineStr">
        <is>
          <t>2f931f49-361a-4710-8055-7f63eb243fc3</t>
        </is>
      </c>
      <c r="J141" s="32" t="inlineStr">
        <is>
          <t>qvf-app</t>
        </is>
      </c>
    </row>
    <row r="142">
      <c r="A142" s="37" t="inlineStr">
        <is>
          <t>TryExtensions</t>
        </is>
      </c>
      <c r="B142" s="37" t="inlineStr">
        <is>
          <t>ScriptError</t>
        </is>
      </c>
      <c r="C142" s="43" t="inlineStr"/>
      <c r="D142" s="43" t="inlineStr"/>
      <c r="E142" s="39" t="n">
        <v>0</v>
      </c>
      <c r="F142" s="37" t="inlineStr">
        <is>
          <t>No</t>
        </is>
      </c>
      <c r="G142" s="37" t="inlineStr">
        <is>
          <t>Yes</t>
        </is>
      </c>
      <c r="H142" s="37" t="inlineStr">
        <is>
          <t>qvapp_variablelist</t>
        </is>
      </c>
      <c r="I142" s="37" t="inlineStr">
        <is>
          <t>247a6f57-1313-4b9b-8697-d7cb60bab698</t>
        </is>
      </c>
      <c r="J142" s="37" t="inlineStr">
        <is>
          <t>qvf-app</t>
        </is>
      </c>
    </row>
    <row r="143">
      <c r="A143" s="32" t="inlineStr">
        <is>
          <t>TryExtensions</t>
        </is>
      </c>
      <c r="B143" s="32" t="inlineStr">
        <is>
          <t>ThousandSep</t>
        </is>
      </c>
      <c r="C143" s="42" t="inlineStr">
        <is>
          <t>.</t>
        </is>
      </c>
      <c r="D143" s="42" t="inlineStr"/>
      <c r="E143" s="32" t="inlineStr">
        <is>
          <t>NaN</t>
        </is>
      </c>
      <c r="F143" s="32" t="inlineStr">
        <is>
          <t>No</t>
        </is>
      </c>
      <c r="G143" s="32" t="inlineStr">
        <is>
          <t>Yes</t>
        </is>
      </c>
      <c r="H143" s="32" t="inlineStr">
        <is>
          <t>qvapp_variablelist</t>
        </is>
      </c>
      <c r="I143" s="32" t="inlineStr">
        <is>
          <t>1c8f6a6d-a802-45b4-b54e-ae89f8598556</t>
        </is>
      </c>
      <c r="J143" s="32" t="inlineStr">
        <is>
          <t>qvf-app</t>
        </is>
      </c>
    </row>
    <row r="144">
      <c r="A144" s="37" t="inlineStr">
        <is>
          <t>TryExtensions</t>
        </is>
      </c>
      <c r="B144" s="37" t="inlineStr">
        <is>
          <t>DecimalSep</t>
        </is>
      </c>
      <c r="C144" s="43" t="inlineStr">
        <is>
          <t>,</t>
        </is>
      </c>
      <c r="D144" s="43" t="inlineStr"/>
      <c r="E144" s="37" t="inlineStr">
        <is>
          <t>NaN</t>
        </is>
      </c>
      <c r="F144" s="37" t="inlineStr">
        <is>
          <t>No</t>
        </is>
      </c>
      <c r="G144" s="37" t="inlineStr">
        <is>
          <t>Yes</t>
        </is>
      </c>
      <c r="H144" s="37" t="inlineStr">
        <is>
          <t>qvapp_variablelist</t>
        </is>
      </c>
      <c r="I144" s="37" t="inlineStr">
        <is>
          <t>d3a94df3-b69a-45cf-a8e0-28e0d05a36ba</t>
        </is>
      </c>
      <c r="J144" s="37" t="inlineStr">
        <is>
          <t>qvf-app</t>
        </is>
      </c>
    </row>
    <row r="145">
      <c r="A145" s="32" t="inlineStr">
        <is>
          <t>TryExtensions</t>
        </is>
      </c>
      <c r="B145" s="32" t="inlineStr">
        <is>
          <t>MoneyThousandSep</t>
        </is>
      </c>
      <c r="C145" s="42" t="inlineStr">
        <is>
          <t>.</t>
        </is>
      </c>
      <c r="D145" s="42" t="inlineStr"/>
      <c r="E145" s="32" t="inlineStr">
        <is>
          <t>NaN</t>
        </is>
      </c>
      <c r="F145" s="32" t="inlineStr">
        <is>
          <t>No</t>
        </is>
      </c>
      <c r="G145" s="32" t="inlineStr">
        <is>
          <t>Yes</t>
        </is>
      </c>
      <c r="H145" s="32" t="inlineStr">
        <is>
          <t>qvapp_variablelist</t>
        </is>
      </c>
      <c r="I145" s="32" t="inlineStr">
        <is>
          <t>c458f1be-a07f-4b44-844b-2b94853d511d</t>
        </is>
      </c>
      <c r="J145" s="32" t="inlineStr">
        <is>
          <t>qvf-app</t>
        </is>
      </c>
    </row>
    <row r="146">
      <c r="A146" s="37" t="inlineStr">
        <is>
          <t>TryExtensions</t>
        </is>
      </c>
      <c r="B146" s="37" t="inlineStr">
        <is>
          <t>MoneyDecimalSep</t>
        </is>
      </c>
      <c r="C146" s="43" t="inlineStr">
        <is>
          <t>,</t>
        </is>
      </c>
      <c r="D146" s="43" t="inlineStr"/>
      <c r="E146" s="37" t="inlineStr">
        <is>
          <t>NaN</t>
        </is>
      </c>
      <c r="F146" s="37" t="inlineStr">
        <is>
          <t>No</t>
        </is>
      </c>
      <c r="G146" s="37" t="inlineStr">
        <is>
          <t>Yes</t>
        </is>
      </c>
      <c r="H146" s="37" t="inlineStr">
        <is>
          <t>qvapp_variablelist</t>
        </is>
      </c>
      <c r="I146" s="37" t="inlineStr">
        <is>
          <t>fcbe7317-85f5-4377-93b0-a5a56da2ba2d</t>
        </is>
      </c>
      <c r="J146" s="37" t="inlineStr">
        <is>
          <t>qvf-app</t>
        </is>
      </c>
    </row>
    <row r="147">
      <c r="A147" s="32" t="inlineStr">
        <is>
          <t>TryExtensions</t>
        </is>
      </c>
      <c r="B147" s="32" t="inlineStr">
        <is>
          <t>MoneyFormat</t>
        </is>
      </c>
      <c r="C147" s="42" t="inlineStr">
        <is>
          <t>€ #.##0,00;-€ #.##0,00</t>
        </is>
      </c>
      <c r="D147" s="42" t="inlineStr"/>
      <c r="E147" s="32" t="inlineStr">
        <is>
          <t>NaN</t>
        </is>
      </c>
      <c r="F147" s="32" t="inlineStr">
        <is>
          <t>No</t>
        </is>
      </c>
      <c r="G147" s="32" t="inlineStr">
        <is>
          <t>Yes</t>
        </is>
      </c>
      <c r="H147" s="32" t="inlineStr">
        <is>
          <t>qvapp_variablelist</t>
        </is>
      </c>
      <c r="I147" s="32" t="inlineStr">
        <is>
          <t>e494d5af-b255-4af3-97d1-a05f0e954ec3</t>
        </is>
      </c>
      <c r="J147" s="32" t="inlineStr">
        <is>
          <t>qvf-app</t>
        </is>
      </c>
    </row>
    <row r="148">
      <c r="A148" s="37" t="inlineStr">
        <is>
          <t>TryExtensions</t>
        </is>
      </c>
      <c r="B148" s="37" t="inlineStr">
        <is>
          <t>TimeFormat</t>
        </is>
      </c>
      <c r="C148" s="43" t="inlineStr">
        <is>
          <t>hh:mm:ss</t>
        </is>
      </c>
      <c r="D148" s="43" t="inlineStr"/>
      <c r="E148" s="37" t="inlineStr">
        <is>
          <t>NaN</t>
        </is>
      </c>
      <c r="F148" s="37" t="inlineStr">
        <is>
          <t>No</t>
        </is>
      </c>
      <c r="G148" s="37" t="inlineStr">
        <is>
          <t>Yes</t>
        </is>
      </c>
      <c r="H148" s="37" t="inlineStr">
        <is>
          <t>qvapp_variablelist</t>
        </is>
      </c>
      <c r="I148" s="37" t="inlineStr">
        <is>
          <t>937a7bac-30a9-471a-b07a-65900ebc6544</t>
        </is>
      </c>
      <c r="J148" s="37" t="inlineStr">
        <is>
          <t>qvf-app</t>
        </is>
      </c>
    </row>
    <row r="149">
      <c r="A149" s="32" t="inlineStr">
        <is>
          <t>TryExtensions</t>
        </is>
      </c>
      <c r="B149" s="32" t="inlineStr">
        <is>
          <t>DateFormat</t>
        </is>
      </c>
      <c r="C149" s="42" t="inlineStr">
        <is>
          <t>DD/MM/YYYY</t>
        </is>
      </c>
      <c r="D149" s="42" t="inlineStr"/>
      <c r="E149" s="32" t="inlineStr">
        <is>
          <t>NaN</t>
        </is>
      </c>
      <c r="F149" s="32" t="inlineStr">
        <is>
          <t>No</t>
        </is>
      </c>
      <c r="G149" s="32" t="inlineStr">
        <is>
          <t>Yes</t>
        </is>
      </c>
      <c r="H149" s="32" t="inlineStr">
        <is>
          <t>qvapp_variablelist</t>
        </is>
      </c>
      <c r="I149" s="32" t="inlineStr">
        <is>
          <t>028ec673-1634-42b4-8efd-3cf818957023</t>
        </is>
      </c>
      <c r="J149" s="32" t="inlineStr">
        <is>
          <t>qvf-app</t>
        </is>
      </c>
    </row>
    <row r="150">
      <c r="A150" s="37" t="inlineStr">
        <is>
          <t>TryExtensions</t>
        </is>
      </c>
      <c r="B150" s="37" t="inlineStr">
        <is>
          <t>TimestampFormat</t>
        </is>
      </c>
      <c r="C150" s="43" t="inlineStr">
        <is>
          <t>DD/MM/YYYY hh:mm:ss[.fff]</t>
        </is>
      </c>
      <c r="D150" s="43" t="inlineStr"/>
      <c r="E150" s="37" t="inlineStr">
        <is>
          <t>NaN</t>
        </is>
      </c>
      <c r="F150" s="37" t="inlineStr">
        <is>
          <t>No</t>
        </is>
      </c>
      <c r="G150" s="37" t="inlineStr">
        <is>
          <t>Yes</t>
        </is>
      </c>
      <c r="H150" s="37" t="inlineStr">
        <is>
          <t>qvapp_variablelist</t>
        </is>
      </c>
      <c r="I150" s="37" t="inlineStr">
        <is>
          <t>56b1bd07-a3f7-4cdf-adad-380673271f3f</t>
        </is>
      </c>
      <c r="J150" s="37" t="inlineStr">
        <is>
          <t>qvf-app</t>
        </is>
      </c>
    </row>
    <row r="151">
      <c r="A151" s="32" t="inlineStr">
        <is>
          <t>TryExtensions</t>
        </is>
      </c>
      <c r="B151" s="32" t="inlineStr">
        <is>
          <t>MonthNames</t>
        </is>
      </c>
      <c r="C151" s="42" t="inlineStr">
        <is>
          <t>gen;feb;mar;apr;mag;giu;lug;ago;set;ott;nov;dic</t>
        </is>
      </c>
      <c r="D151" s="42" t="inlineStr"/>
      <c r="E151" s="32" t="inlineStr">
        <is>
          <t>NaN</t>
        </is>
      </c>
      <c r="F151" s="32" t="inlineStr">
        <is>
          <t>No</t>
        </is>
      </c>
      <c r="G151" s="32" t="inlineStr">
        <is>
          <t>Yes</t>
        </is>
      </c>
      <c r="H151" s="32" t="inlineStr">
        <is>
          <t>qvapp_variablelist</t>
        </is>
      </c>
      <c r="I151" s="32" t="inlineStr">
        <is>
          <t>8deddae7-441c-4849-a5de-d1615d407f6a</t>
        </is>
      </c>
      <c r="J151" s="32" t="inlineStr">
        <is>
          <t>qvf-app</t>
        </is>
      </c>
    </row>
    <row r="152">
      <c r="A152" s="37" t="inlineStr">
        <is>
          <t>TryExtensions</t>
        </is>
      </c>
      <c r="B152" s="37" t="inlineStr">
        <is>
          <t>DayNames</t>
        </is>
      </c>
      <c r="C152" s="43" t="inlineStr">
        <is>
          <t>lun;mar;mer;gio;ven;sab;dom</t>
        </is>
      </c>
      <c r="D152" s="43" t="inlineStr"/>
      <c r="E152" s="37" t="inlineStr">
        <is>
          <t>NaN</t>
        </is>
      </c>
      <c r="F152" s="37" t="inlineStr">
        <is>
          <t>No</t>
        </is>
      </c>
      <c r="G152" s="37" t="inlineStr">
        <is>
          <t>Yes</t>
        </is>
      </c>
      <c r="H152" s="37" t="inlineStr">
        <is>
          <t>qvapp_variablelist</t>
        </is>
      </c>
      <c r="I152" s="37" t="inlineStr">
        <is>
          <t>5bf1b824-642f-4c8a-8758-74aea1296b3c</t>
        </is>
      </c>
      <c r="J152" s="37" t="inlineStr">
        <is>
          <t>qvf-app</t>
        </is>
      </c>
    </row>
    <row r="153">
      <c r="A153" s="32" t="inlineStr">
        <is>
          <t>TryExtensions</t>
        </is>
      </c>
      <c r="B153" s="32" t="inlineStr">
        <is>
          <t>LongMonthNames</t>
        </is>
      </c>
      <c r="C153" s="42" t="inlineStr">
        <is>
          <t>gennaio;febbraio;marzo;aprile;maggio;giugno;luglio;agosto;settembre;ottobre;novembre;dicembre</t>
        </is>
      </c>
      <c r="D153" s="42" t="inlineStr"/>
      <c r="E153" s="32" t="inlineStr">
        <is>
          <t>NaN</t>
        </is>
      </c>
      <c r="F153" s="32" t="inlineStr">
        <is>
          <t>No</t>
        </is>
      </c>
      <c r="G153" s="32" t="inlineStr">
        <is>
          <t>Yes</t>
        </is>
      </c>
      <c r="H153" s="32" t="inlineStr">
        <is>
          <t>qvapp_variablelist</t>
        </is>
      </c>
      <c r="I153" s="32" t="inlineStr">
        <is>
          <t>a40b364b-916d-4a6b-81d1-d77292b5438c</t>
        </is>
      </c>
      <c r="J153" s="32" t="inlineStr">
        <is>
          <t>qvf-app</t>
        </is>
      </c>
    </row>
    <row r="154">
      <c r="A154" s="37" t="inlineStr">
        <is>
          <t>TryExtensions</t>
        </is>
      </c>
      <c r="B154" s="37" t="inlineStr">
        <is>
          <t>LongDayNames</t>
        </is>
      </c>
      <c r="C154" s="43" t="inlineStr">
        <is>
          <t>lunedì;martedì;mercoledì;giovedì;venerdì;sabato;domenica</t>
        </is>
      </c>
      <c r="D154" s="43" t="inlineStr"/>
      <c r="E154" s="37" t="inlineStr">
        <is>
          <t>NaN</t>
        </is>
      </c>
      <c r="F154" s="37" t="inlineStr">
        <is>
          <t>No</t>
        </is>
      </c>
      <c r="G154" s="37" t="inlineStr">
        <is>
          <t>Yes</t>
        </is>
      </c>
      <c r="H154" s="37" t="inlineStr">
        <is>
          <t>qvapp_variablelist</t>
        </is>
      </c>
      <c r="I154" s="37" t="inlineStr">
        <is>
          <t>9dd18b56-cfd0-47e3-ba19-af081383f24a</t>
        </is>
      </c>
      <c r="J154" s="37" t="inlineStr">
        <is>
          <t>qvf-app</t>
        </is>
      </c>
    </row>
    <row r="155">
      <c r="A155" s="32" t="inlineStr">
        <is>
          <t>TryExtensions</t>
        </is>
      </c>
      <c r="B155" s="32" t="inlineStr">
        <is>
          <t>FirstWeekDay</t>
        </is>
      </c>
      <c r="C155" s="42" t="inlineStr">
        <is>
          <t>0</t>
        </is>
      </c>
      <c r="D155" s="42" t="inlineStr"/>
      <c r="E155" s="34" t="n">
        <v>0</v>
      </c>
      <c r="F155" s="32" t="inlineStr">
        <is>
          <t>No</t>
        </is>
      </c>
      <c r="G155" s="32" t="inlineStr">
        <is>
          <t>Yes</t>
        </is>
      </c>
      <c r="H155" s="32" t="inlineStr">
        <is>
          <t>qvapp_variablelist</t>
        </is>
      </c>
      <c r="I155" s="32" t="inlineStr">
        <is>
          <t>6de9629a-ce9f-495c-b7db-67ee8f6d0162</t>
        </is>
      </c>
      <c r="J155" s="32" t="inlineStr">
        <is>
          <t>qvf-app</t>
        </is>
      </c>
    </row>
    <row r="156">
      <c r="A156" s="37" t="inlineStr">
        <is>
          <t>TryExtensions</t>
        </is>
      </c>
      <c r="B156" s="37" t="inlineStr">
        <is>
          <t>BrokenWeeks</t>
        </is>
      </c>
      <c r="C156" s="43" t="inlineStr">
        <is>
          <t>0</t>
        </is>
      </c>
      <c r="D156" s="43" t="inlineStr"/>
      <c r="E156" s="39" t="n">
        <v>0</v>
      </c>
      <c r="F156" s="37" t="inlineStr">
        <is>
          <t>No</t>
        </is>
      </c>
      <c r="G156" s="37" t="inlineStr">
        <is>
          <t>Yes</t>
        </is>
      </c>
      <c r="H156" s="37" t="inlineStr">
        <is>
          <t>qvapp_variablelist</t>
        </is>
      </c>
      <c r="I156" s="37" t="inlineStr">
        <is>
          <t>1fca2297-1733-44dd-8125-0963ff485918</t>
        </is>
      </c>
      <c r="J156" s="37" t="inlineStr">
        <is>
          <t>qvf-app</t>
        </is>
      </c>
    </row>
    <row r="157">
      <c r="A157" s="32" t="inlineStr">
        <is>
          <t>TryExtensions</t>
        </is>
      </c>
      <c r="B157" s="32" t="inlineStr">
        <is>
          <t>ReferenceDay</t>
        </is>
      </c>
      <c r="C157" s="42" t="inlineStr">
        <is>
          <t>4</t>
        </is>
      </c>
      <c r="D157" s="42" t="inlineStr"/>
      <c r="E157" s="34" t="n">
        <v>4</v>
      </c>
      <c r="F157" s="32" t="inlineStr">
        <is>
          <t>No</t>
        </is>
      </c>
      <c r="G157" s="32" t="inlineStr">
        <is>
          <t>Yes</t>
        </is>
      </c>
      <c r="H157" s="32" t="inlineStr">
        <is>
          <t>qvapp_variablelist</t>
        </is>
      </c>
      <c r="I157" s="32" t="inlineStr">
        <is>
          <t>bf56708c-1408-4aa5-9ff7-5f15360aa277</t>
        </is>
      </c>
      <c r="J157" s="32" t="inlineStr">
        <is>
          <t>qvf-app</t>
        </is>
      </c>
    </row>
    <row r="158">
      <c r="A158" s="37" t="inlineStr">
        <is>
          <t>TryExtensions</t>
        </is>
      </c>
      <c r="B158" s="37" t="inlineStr">
        <is>
          <t>FirstMonthOfYear</t>
        </is>
      </c>
      <c r="C158" s="43" t="inlineStr">
        <is>
          <t>1</t>
        </is>
      </c>
      <c r="D158" s="43" t="inlineStr"/>
      <c r="E158" s="39" t="n">
        <v>1</v>
      </c>
      <c r="F158" s="37" t="inlineStr">
        <is>
          <t>No</t>
        </is>
      </c>
      <c r="G158" s="37" t="inlineStr">
        <is>
          <t>Yes</t>
        </is>
      </c>
      <c r="H158" s="37" t="inlineStr">
        <is>
          <t>qvapp_variablelist</t>
        </is>
      </c>
      <c r="I158" s="37" t="inlineStr">
        <is>
          <t>1a51fbd5-421d-470d-ae23-58a78151e7ba</t>
        </is>
      </c>
      <c r="J158" s="37" t="inlineStr">
        <is>
          <t>qvf-app</t>
        </is>
      </c>
    </row>
    <row r="159">
      <c r="A159" s="32" t="inlineStr">
        <is>
          <t>TryExtensions</t>
        </is>
      </c>
      <c r="B159" s="32" t="inlineStr">
        <is>
          <t>CollationLocale</t>
        </is>
      </c>
      <c r="C159" s="42" t="inlineStr">
        <is>
          <t>it-IT</t>
        </is>
      </c>
      <c r="D159" s="42" t="inlineStr"/>
      <c r="E159" s="32" t="inlineStr">
        <is>
          <t>NaN</t>
        </is>
      </c>
      <c r="F159" s="32" t="inlineStr">
        <is>
          <t>No</t>
        </is>
      </c>
      <c r="G159" s="32" t="inlineStr">
        <is>
          <t>Yes</t>
        </is>
      </c>
      <c r="H159" s="32" t="inlineStr">
        <is>
          <t>qvapp_variablelist</t>
        </is>
      </c>
      <c r="I159" s="32" t="inlineStr">
        <is>
          <t>c644db26-0bb0-4e8a-bbab-594a67d8b53c</t>
        </is>
      </c>
      <c r="J159" s="32" t="inlineStr">
        <is>
          <t>qvf-app</t>
        </is>
      </c>
    </row>
    <row r="160">
      <c r="A160" s="37" t="inlineStr">
        <is>
          <t>Tutorial creazione nuova app</t>
        </is>
      </c>
      <c r="B160" s="37" t="inlineStr">
        <is>
          <t>ErrorMode</t>
        </is>
      </c>
      <c r="C160" s="43" t="inlineStr"/>
      <c r="D160" s="43" t="inlineStr"/>
      <c r="E160" s="39" t="n">
        <v>1</v>
      </c>
      <c r="F160" s="37" t="inlineStr">
        <is>
          <t>No</t>
        </is>
      </c>
      <c r="G160" s="37" t="inlineStr">
        <is>
          <t>Yes</t>
        </is>
      </c>
      <c r="H160" s="37" t="inlineStr">
        <is>
          <t>qvapp_variablelist</t>
        </is>
      </c>
      <c r="I160" s="37" t="inlineStr">
        <is>
          <t>2e85350f-7b42-4387-a7e9-d65a744d3524</t>
        </is>
      </c>
      <c r="J160" s="37" t="inlineStr">
        <is>
          <t>qvf-app</t>
        </is>
      </c>
    </row>
    <row r="161">
      <c r="A161" s="32" t="inlineStr">
        <is>
          <t>Tutorial creazione nuova app</t>
        </is>
      </c>
      <c r="B161" s="32" t="inlineStr">
        <is>
          <t>StripComments</t>
        </is>
      </c>
      <c r="C161" s="42" t="inlineStr"/>
      <c r="D161" s="42" t="inlineStr"/>
      <c r="E161" s="34" t="n">
        <v>1</v>
      </c>
      <c r="F161" s="32" t="inlineStr">
        <is>
          <t>No</t>
        </is>
      </c>
      <c r="G161" s="32" t="inlineStr">
        <is>
          <t>Yes</t>
        </is>
      </c>
      <c r="H161" s="32" t="inlineStr">
        <is>
          <t>qvapp_variablelist</t>
        </is>
      </c>
      <c r="I161" s="32" t="inlineStr">
        <is>
          <t>4adb686a-64ad-4d29-8d57-52a94f853587</t>
        </is>
      </c>
      <c r="J161" s="32" t="inlineStr">
        <is>
          <t>qvf-app</t>
        </is>
      </c>
    </row>
    <row r="162">
      <c r="A162" s="37" t="inlineStr">
        <is>
          <t>Tutorial creazione nuova app</t>
        </is>
      </c>
      <c r="B162" s="37" t="inlineStr">
        <is>
          <t>OpenUrlTimeout</t>
        </is>
      </c>
      <c r="C162" s="43" t="inlineStr"/>
      <c r="D162" s="43" t="inlineStr"/>
      <c r="E162" s="39" t="n">
        <v>86400</v>
      </c>
      <c r="F162" s="37" t="inlineStr">
        <is>
          <t>No</t>
        </is>
      </c>
      <c r="G162" s="37" t="inlineStr">
        <is>
          <t>Yes</t>
        </is>
      </c>
      <c r="H162" s="37" t="inlineStr">
        <is>
          <t>qvapp_variablelist</t>
        </is>
      </c>
      <c r="I162" s="37" t="inlineStr">
        <is>
          <t>587ad018-c2bc-401e-806e-aa613427d5c1</t>
        </is>
      </c>
      <c r="J162" s="37" t="inlineStr">
        <is>
          <t>qvf-app</t>
        </is>
      </c>
    </row>
    <row r="163">
      <c r="A163" s="32" t="inlineStr">
        <is>
          <t>Tutorial creazione nuova app</t>
        </is>
      </c>
      <c r="B163" s="32" t="inlineStr">
        <is>
          <t>ScriptErrorCount</t>
        </is>
      </c>
      <c r="C163" s="42" t="inlineStr">
        <is>
          <t>0</t>
        </is>
      </c>
      <c r="D163" s="42" t="inlineStr"/>
      <c r="E163" s="34" t="n">
        <v>0</v>
      </c>
      <c r="F163" s="32" t="inlineStr">
        <is>
          <t>No</t>
        </is>
      </c>
      <c r="G163" s="32" t="inlineStr">
        <is>
          <t>Yes</t>
        </is>
      </c>
      <c r="H163" s="32" t="inlineStr">
        <is>
          <t>qvapp_variablelist</t>
        </is>
      </c>
      <c r="I163" s="32" t="inlineStr">
        <is>
          <t>e41e7a60-7080-4079-9b35-3f999b182ea9</t>
        </is>
      </c>
      <c r="J163" s="32" t="inlineStr">
        <is>
          <t>qvf-app</t>
        </is>
      </c>
    </row>
    <row r="164">
      <c r="A164" s="37" t="inlineStr">
        <is>
          <t>Tutorial creazione nuova app</t>
        </is>
      </c>
      <c r="B164" s="37" t="inlineStr">
        <is>
          <t>ScriptErrorList</t>
        </is>
      </c>
      <c r="C164" s="43" t="inlineStr"/>
      <c r="D164" s="43" t="inlineStr"/>
      <c r="E164" s="37" t="inlineStr">
        <is>
          <t>NaN</t>
        </is>
      </c>
      <c r="F164" s="37" t="inlineStr">
        <is>
          <t>No</t>
        </is>
      </c>
      <c r="G164" s="37" t="inlineStr">
        <is>
          <t>Yes</t>
        </is>
      </c>
      <c r="H164" s="37" t="inlineStr">
        <is>
          <t>qvapp_variablelist</t>
        </is>
      </c>
      <c r="I164" s="37" t="inlineStr">
        <is>
          <t>4dd49cb6-f13a-4c1c-99f3-75b068be1da0</t>
        </is>
      </c>
      <c r="J164" s="37" t="inlineStr">
        <is>
          <t>qvf-app</t>
        </is>
      </c>
    </row>
    <row r="165">
      <c r="A165" s="32" t="inlineStr">
        <is>
          <t>Tutorial creazione nuova app</t>
        </is>
      </c>
      <c r="B165" s="32" t="inlineStr">
        <is>
          <t>ScriptError</t>
        </is>
      </c>
      <c r="C165" s="42" t="inlineStr"/>
      <c r="D165" s="42" t="inlineStr"/>
      <c r="E165" s="34" t="n">
        <v>0</v>
      </c>
      <c r="F165" s="32" t="inlineStr">
        <is>
          <t>No</t>
        </is>
      </c>
      <c r="G165" s="32" t="inlineStr">
        <is>
          <t>Yes</t>
        </is>
      </c>
      <c r="H165" s="32" t="inlineStr">
        <is>
          <t>qvapp_variablelist</t>
        </is>
      </c>
      <c r="I165" s="32" t="inlineStr">
        <is>
          <t>66f628c9-60b8-4655-a25c-962964322dbc</t>
        </is>
      </c>
      <c r="J165" s="32" t="inlineStr">
        <is>
          <t>qvf-app</t>
        </is>
      </c>
    </row>
    <row r="166">
      <c r="A166" s="37" t="inlineStr">
        <is>
          <t>Tutorial creazione nuova app</t>
        </is>
      </c>
      <c r="B166" s="37" t="inlineStr">
        <is>
          <t>ThousandSep</t>
        </is>
      </c>
      <c r="C166" s="43" t="inlineStr">
        <is>
          <t>,</t>
        </is>
      </c>
      <c r="D166" s="43" t="inlineStr"/>
      <c r="E166" s="37" t="inlineStr">
        <is>
          <t>NaN</t>
        </is>
      </c>
      <c r="F166" s="37" t="inlineStr">
        <is>
          <t>No</t>
        </is>
      </c>
      <c r="G166" s="37" t="inlineStr">
        <is>
          <t>Yes</t>
        </is>
      </c>
      <c r="H166" s="37" t="inlineStr">
        <is>
          <t>qvapp_variablelist</t>
        </is>
      </c>
      <c r="I166" s="37" t="inlineStr">
        <is>
          <t>1cb89826-b7a4-41ec-bd88-b0f550c816e3</t>
        </is>
      </c>
      <c r="J166" s="37" t="inlineStr">
        <is>
          <t>qvf-app</t>
        </is>
      </c>
    </row>
    <row r="167">
      <c r="A167" s="32" t="inlineStr">
        <is>
          <t>Tutorial creazione nuova app</t>
        </is>
      </c>
      <c r="B167" s="32" t="inlineStr">
        <is>
          <t>DecimalSep</t>
        </is>
      </c>
      <c r="C167" s="42" t="inlineStr">
        <is>
          <t>.</t>
        </is>
      </c>
      <c r="D167" s="42" t="inlineStr"/>
      <c r="E167" s="32" t="inlineStr">
        <is>
          <t>NaN</t>
        </is>
      </c>
      <c r="F167" s="32" t="inlineStr">
        <is>
          <t>No</t>
        </is>
      </c>
      <c r="G167" s="32" t="inlineStr">
        <is>
          <t>Yes</t>
        </is>
      </c>
      <c r="H167" s="32" t="inlineStr">
        <is>
          <t>qvapp_variablelist</t>
        </is>
      </c>
      <c r="I167" s="32" t="inlineStr">
        <is>
          <t>49e4ab09-7b6c-40a8-8b71-b40ad557df97</t>
        </is>
      </c>
      <c r="J167" s="32" t="inlineStr">
        <is>
          <t>qvf-app</t>
        </is>
      </c>
    </row>
    <row r="168">
      <c r="A168" s="37" t="inlineStr">
        <is>
          <t>Tutorial creazione nuova app</t>
        </is>
      </c>
      <c r="B168" s="37" t="inlineStr">
        <is>
          <t>MoneyThousandSep</t>
        </is>
      </c>
      <c r="C168" s="43" t="inlineStr">
        <is>
          <t>,</t>
        </is>
      </c>
      <c r="D168" s="43" t="inlineStr"/>
      <c r="E168" s="37" t="inlineStr">
        <is>
          <t>NaN</t>
        </is>
      </c>
      <c r="F168" s="37" t="inlineStr">
        <is>
          <t>No</t>
        </is>
      </c>
      <c r="G168" s="37" t="inlineStr">
        <is>
          <t>Yes</t>
        </is>
      </c>
      <c r="H168" s="37" t="inlineStr">
        <is>
          <t>qvapp_variablelist</t>
        </is>
      </c>
      <c r="I168" s="37" t="inlineStr">
        <is>
          <t>e9523705-8b85-4dd8-a505-4f74c3f15df2</t>
        </is>
      </c>
      <c r="J168" s="37" t="inlineStr">
        <is>
          <t>qvf-app</t>
        </is>
      </c>
    </row>
    <row r="169">
      <c r="A169" s="32" t="inlineStr">
        <is>
          <t>Tutorial creazione nuova app</t>
        </is>
      </c>
      <c r="B169" s="32" t="inlineStr">
        <is>
          <t>MoneyDecimalSep</t>
        </is>
      </c>
      <c r="C169" s="42" t="inlineStr">
        <is>
          <t>.</t>
        </is>
      </c>
      <c r="D169" s="42" t="inlineStr"/>
      <c r="E169" s="32" t="inlineStr">
        <is>
          <t>NaN</t>
        </is>
      </c>
      <c r="F169" s="32" t="inlineStr">
        <is>
          <t>No</t>
        </is>
      </c>
      <c r="G169" s="32" t="inlineStr">
        <is>
          <t>Yes</t>
        </is>
      </c>
      <c r="H169" s="32" t="inlineStr">
        <is>
          <t>qvapp_variablelist</t>
        </is>
      </c>
      <c r="I169" s="32" t="inlineStr">
        <is>
          <t>5ced0a37-0091-4269-b911-326ddbd4a13f</t>
        </is>
      </c>
      <c r="J169" s="32" t="inlineStr">
        <is>
          <t>qvf-app</t>
        </is>
      </c>
    </row>
    <row r="170">
      <c r="A170" s="37" t="inlineStr">
        <is>
          <t>Tutorial creazione nuova app</t>
        </is>
      </c>
      <c r="B170" s="37" t="inlineStr">
        <is>
          <t>MoneyFormat</t>
        </is>
      </c>
      <c r="C170" s="43" t="inlineStr">
        <is>
          <t>$#,##0.00;($#,##0.00)</t>
        </is>
      </c>
      <c r="D170" s="43" t="inlineStr"/>
      <c r="E170" s="37" t="inlineStr">
        <is>
          <t>NaN</t>
        </is>
      </c>
      <c r="F170" s="37" t="inlineStr">
        <is>
          <t>No</t>
        </is>
      </c>
      <c r="G170" s="37" t="inlineStr">
        <is>
          <t>Yes</t>
        </is>
      </c>
      <c r="H170" s="37" t="inlineStr">
        <is>
          <t>qvapp_variablelist</t>
        </is>
      </c>
      <c r="I170" s="37" t="inlineStr">
        <is>
          <t>e60e863a-c070-411f-8353-3386687212e8</t>
        </is>
      </c>
      <c r="J170" s="37" t="inlineStr">
        <is>
          <t>qvf-app</t>
        </is>
      </c>
    </row>
    <row r="171">
      <c r="A171" s="32" t="inlineStr">
        <is>
          <t>Tutorial creazione nuova app</t>
        </is>
      </c>
      <c r="B171" s="32" t="inlineStr">
        <is>
          <t>TimeFormat</t>
        </is>
      </c>
      <c r="C171" s="42" t="inlineStr">
        <is>
          <t>h:mm:ss TT</t>
        </is>
      </c>
      <c r="D171" s="42" t="inlineStr"/>
      <c r="E171" s="32" t="inlineStr">
        <is>
          <t>NaN</t>
        </is>
      </c>
      <c r="F171" s="32" t="inlineStr">
        <is>
          <t>No</t>
        </is>
      </c>
      <c r="G171" s="32" t="inlineStr">
        <is>
          <t>Yes</t>
        </is>
      </c>
      <c r="H171" s="32" t="inlineStr">
        <is>
          <t>qvapp_variablelist</t>
        </is>
      </c>
      <c r="I171" s="32" t="inlineStr">
        <is>
          <t>ca497407-1f69-46db-85af-6746b2b308f7</t>
        </is>
      </c>
      <c r="J171" s="32" t="inlineStr">
        <is>
          <t>qvf-app</t>
        </is>
      </c>
    </row>
    <row r="172">
      <c r="A172" s="37" t="inlineStr">
        <is>
          <t>Tutorial creazione nuova app</t>
        </is>
      </c>
      <c r="B172" s="37" t="inlineStr">
        <is>
          <t>DateFormat</t>
        </is>
      </c>
      <c r="C172" s="43" t="inlineStr">
        <is>
          <t>M/D/YYYY</t>
        </is>
      </c>
      <c r="D172" s="43" t="inlineStr"/>
      <c r="E172" s="37" t="inlineStr">
        <is>
          <t>NaN</t>
        </is>
      </c>
      <c r="F172" s="37" t="inlineStr">
        <is>
          <t>No</t>
        </is>
      </c>
      <c r="G172" s="37" t="inlineStr">
        <is>
          <t>Yes</t>
        </is>
      </c>
      <c r="H172" s="37" t="inlineStr">
        <is>
          <t>qvapp_variablelist</t>
        </is>
      </c>
      <c r="I172" s="37" t="inlineStr">
        <is>
          <t>c117c4ca-1063-45fb-9f9b-9b7e843348f7</t>
        </is>
      </c>
      <c r="J172" s="37" t="inlineStr">
        <is>
          <t>qvf-app</t>
        </is>
      </c>
    </row>
    <row r="173">
      <c r="A173" s="32" t="inlineStr">
        <is>
          <t>Tutorial creazione nuova app</t>
        </is>
      </c>
      <c r="B173" s="32" t="inlineStr">
        <is>
          <t>TimestampFormat</t>
        </is>
      </c>
      <c r="C173" s="42" t="inlineStr">
        <is>
          <t>M/D/YYYY h:mm:ss[.fff] TT</t>
        </is>
      </c>
      <c r="D173" s="42" t="inlineStr"/>
      <c r="E173" s="32" t="inlineStr">
        <is>
          <t>NaN</t>
        </is>
      </c>
      <c r="F173" s="32" t="inlineStr">
        <is>
          <t>No</t>
        </is>
      </c>
      <c r="G173" s="32" t="inlineStr">
        <is>
          <t>Yes</t>
        </is>
      </c>
      <c r="H173" s="32" t="inlineStr">
        <is>
          <t>qvapp_variablelist</t>
        </is>
      </c>
      <c r="I173" s="32" t="inlineStr">
        <is>
          <t>addb86dd-1eca-4f94-ac08-bfb18bb8e9c7</t>
        </is>
      </c>
      <c r="J173" s="32" t="inlineStr">
        <is>
          <t>qvf-app</t>
        </is>
      </c>
    </row>
    <row r="174">
      <c r="A174" s="37" t="inlineStr">
        <is>
          <t>Tutorial creazione nuova app</t>
        </is>
      </c>
      <c r="B174" s="37" t="inlineStr">
        <is>
          <t>MonthNames</t>
        </is>
      </c>
      <c r="C174" s="43" t="inlineStr">
        <is>
          <t>Jan;Feb;Mar;Apr;May;Jun;Jul;Aug;Sep;Oct;Nov;Dec</t>
        </is>
      </c>
      <c r="D174" s="43" t="inlineStr"/>
      <c r="E174" s="37" t="inlineStr">
        <is>
          <t>NaN</t>
        </is>
      </c>
      <c r="F174" s="37" t="inlineStr">
        <is>
          <t>No</t>
        </is>
      </c>
      <c r="G174" s="37" t="inlineStr">
        <is>
          <t>Yes</t>
        </is>
      </c>
      <c r="H174" s="37" t="inlineStr">
        <is>
          <t>qvapp_variablelist</t>
        </is>
      </c>
      <c r="I174" s="37" t="inlineStr">
        <is>
          <t>729db925-feca-4d65-b2a3-285647ef4464</t>
        </is>
      </c>
      <c r="J174" s="37" t="inlineStr">
        <is>
          <t>qvf-app</t>
        </is>
      </c>
    </row>
    <row r="175">
      <c r="A175" s="32" t="inlineStr">
        <is>
          <t>Tutorial creazione nuova app</t>
        </is>
      </c>
      <c r="B175" s="32" t="inlineStr">
        <is>
          <t>DayNames</t>
        </is>
      </c>
      <c r="C175" s="42" t="inlineStr">
        <is>
          <t>Mon;Tue;Wed;Thu;Fri;Sat;Sun</t>
        </is>
      </c>
      <c r="D175" s="42" t="inlineStr"/>
      <c r="E175" s="32" t="inlineStr">
        <is>
          <t>NaN</t>
        </is>
      </c>
      <c r="F175" s="32" t="inlineStr">
        <is>
          <t>No</t>
        </is>
      </c>
      <c r="G175" s="32" t="inlineStr">
        <is>
          <t>Yes</t>
        </is>
      </c>
      <c r="H175" s="32" t="inlineStr">
        <is>
          <t>qvapp_variablelist</t>
        </is>
      </c>
      <c r="I175" s="32" t="inlineStr">
        <is>
          <t>21cf4ffc-8873-44a1-84c2-97f8fc7981e8</t>
        </is>
      </c>
      <c r="J175" s="32" t="inlineStr">
        <is>
          <t>qvf-app</t>
        </is>
      </c>
    </row>
    <row r="176">
      <c r="A176" s="37" t="inlineStr">
        <is>
          <t>Tutorial creazione nuova app</t>
        </is>
      </c>
      <c r="B176" s="37" t="inlineStr">
        <is>
          <t>LongMonthNames</t>
        </is>
      </c>
      <c r="C176" s="43" t="inlineStr">
        <is>
          <t>gennaio;febbraio;marzo;aprile;maggio;giugno;luglio;agosto;settembre;ottobre;novembre;dicembre</t>
        </is>
      </c>
      <c r="D176" s="43" t="inlineStr"/>
      <c r="E176" s="37" t="inlineStr">
        <is>
          <t>NaN</t>
        </is>
      </c>
      <c r="F176" s="37" t="inlineStr">
        <is>
          <t>No</t>
        </is>
      </c>
      <c r="G176" s="37" t="inlineStr">
        <is>
          <t>Yes</t>
        </is>
      </c>
      <c r="H176" s="37" t="inlineStr">
        <is>
          <t>qvapp_variablelist</t>
        </is>
      </c>
      <c r="I176" s="37" t="inlineStr">
        <is>
          <t>8a8443cf-6ef1-42de-8a99-a37f098f67af</t>
        </is>
      </c>
      <c r="J176" s="37" t="inlineStr">
        <is>
          <t>qvf-app</t>
        </is>
      </c>
    </row>
    <row r="177">
      <c r="A177" s="32" t="inlineStr">
        <is>
          <t>Tutorial creazione nuova app</t>
        </is>
      </c>
      <c r="B177" s="32" t="inlineStr">
        <is>
          <t>LongDayNames</t>
        </is>
      </c>
      <c r="C177" s="42" t="inlineStr">
        <is>
          <t>lunedì;martedì;mercoledì;giovedì;venerdì;sabato;domenica</t>
        </is>
      </c>
      <c r="D177" s="42" t="inlineStr"/>
      <c r="E177" s="32" t="inlineStr">
        <is>
          <t>NaN</t>
        </is>
      </c>
      <c r="F177" s="32" t="inlineStr">
        <is>
          <t>No</t>
        </is>
      </c>
      <c r="G177" s="32" t="inlineStr">
        <is>
          <t>Yes</t>
        </is>
      </c>
      <c r="H177" s="32" t="inlineStr">
        <is>
          <t>qvapp_variablelist</t>
        </is>
      </c>
      <c r="I177" s="32" t="inlineStr">
        <is>
          <t>b2f770f9-5f69-458e-81eb-e52446368084</t>
        </is>
      </c>
      <c r="J177" s="32" t="inlineStr">
        <is>
          <t>qvf-app</t>
        </is>
      </c>
    </row>
    <row r="178">
      <c r="A178" s="37" t="inlineStr">
        <is>
          <t>Tutorial creazione nuova app</t>
        </is>
      </c>
      <c r="B178" s="37" t="inlineStr">
        <is>
          <t>FirstWeekDay</t>
        </is>
      </c>
      <c r="C178" s="43" t="inlineStr">
        <is>
          <t>0</t>
        </is>
      </c>
      <c r="D178" s="43" t="inlineStr"/>
      <c r="E178" s="39" t="n">
        <v>0</v>
      </c>
      <c r="F178" s="37" t="inlineStr">
        <is>
          <t>No</t>
        </is>
      </c>
      <c r="G178" s="37" t="inlineStr">
        <is>
          <t>Yes</t>
        </is>
      </c>
      <c r="H178" s="37" t="inlineStr">
        <is>
          <t>qvapp_variablelist</t>
        </is>
      </c>
      <c r="I178" s="37" t="inlineStr">
        <is>
          <t>5fe90b9e-7392-4beb-8936-b0f1640285de</t>
        </is>
      </c>
      <c r="J178" s="37" t="inlineStr">
        <is>
          <t>qvf-app</t>
        </is>
      </c>
    </row>
    <row r="179">
      <c r="A179" s="32" t="inlineStr">
        <is>
          <t>Tutorial creazione nuova app</t>
        </is>
      </c>
      <c r="B179" s="32" t="inlineStr">
        <is>
          <t>BrokenWeeks</t>
        </is>
      </c>
      <c r="C179" s="42" t="inlineStr">
        <is>
          <t>0</t>
        </is>
      </c>
      <c r="D179" s="42" t="inlineStr"/>
      <c r="E179" s="34" t="n">
        <v>0</v>
      </c>
      <c r="F179" s="32" t="inlineStr">
        <is>
          <t>No</t>
        </is>
      </c>
      <c r="G179" s="32" t="inlineStr">
        <is>
          <t>Yes</t>
        </is>
      </c>
      <c r="H179" s="32" t="inlineStr">
        <is>
          <t>qvapp_variablelist</t>
        </is>
      </c>
      <c r="I179" s="32" t="inlineStr">
        <is>
          <t>d401b540-bca1-45b3-acf9-35961738e668</t>
        </is>
      </c>
      <c r="J179" s="32" t="inlineStr">
        <is>
          <t>qvf-app</t>
        </is>
      </c>
    </row>
    <row r="180">
      <c r="A180" s="37" t="inlineStr">
        <is>
          <t>Tutorial creazione nuova app</t>
        </is>
      </c>
      <c r="B180" s="37" t="inlineStr">
        <is>
          <t>ReferenceDay</t>
        </is>
      </c>
      <c r="C180" s="43" t="inlineStr">
        <is>
          <t>4</t>
        </is>
      </c>
      <c r="D180" s="43" t="inlineStr"/>
      <c r="E180" s="39" t="n">
        <v>4</v>
      </c>
      <c r="F180" s="37" t="inlineStr">
        <is>
          <t>No</t>
        </is>
      </c>
      <c r="G180" s="37" t="inlineStr">
        <is>
          <t>Yes</t>
        </is>
      </c>
      <c r="H180" s="37" t="inlineStr">
        <is>
          <t>qvapp_variablelist</t>
        </is>
      </c>
      <c r="I180" s="37" t="inlineStr">
        <is>
          <t>902f5067-3fc8-475a-939e-67ff3f3c4087</t>
        </is>
      </c>
      <c r="J180" s="37" t="inlineStr">
        <is>
          <t>qvf-app</t>
        </is>
      </c>
    </row>
    <row r="181">
      <c r="A181" s="32" t="inlineStr">
        <is>
          <t>Tutorial creazione nuova app</t>
        </is>
      </c>
      <c r="B181" s="32" t="inlineStr">
        <is>
          <t>FirstMonthOfYear</t>
        </is>
      </c>
      <c r="C181" s="42" t="inlineStr">
        <is>
          <t>1</t>
        </is>
      </c>
      <c r="D181" s="42" t="inlineStr"/>
      <c r="E181" s="34" t="n">
        <v>1</v>
      </c>
      <c r="F181" s="32" t="inlineStr">
        <is>
          <t>No</t>
        </is>
      </c>
      <c r="G181" s="32" t="inlineStr">
        <is>
          <t>Yes</t>
        </is>
      </c>
      <c r="H181" s="32" t="inlineStr">
        <is>
          <t>qvapp_variablelist</t>
        </is>
      </c>
      <c r="I181" s="32" t="inlineStr">
        <is>
          <t>4c0b36d2-c2fd-44a5-b46d-1f1f6ea72de4</t>
        </is>
      </c>
      <c r="J181" s="32" t="inlineStr">
        <is>
          <t>qvf-app</t>
        </is>
      </c>
    </row>
    <row r="182">
      <c r="A182" s="37" t="inlineStr">
        <is>
          <t>Tutorial creazione nuova app</t>
        </is>
      </c>
      <c r="B182" s="37" t="inlineStr">
        <is>
          <t>CollationLocale</t>
        </is>
      </c>
      <c r="C182" s="43" t="inlineStr">
        <is>
          <t>it-IT</t>
        </is>
      </c>
      <c r="D182" s="43" t="inlineStr"/>
      <c r="E182" s="37" t="inlineStr">
        <is>
          <t>NaN</t>
        </is>
      </c>
      <c r="F182" s="37" t="inlineStr">
        <is>
          <t>No</t>
        </is>
      </c>
      <c r="G182" s="37" t="inlineStr">
        <is>
          <t>Yes</t>
        </is>
      </c>
      <c r="H182" s="37" t="inlineStr">
        <is>
          <t>qvapp_variablelist</t>
        </is>
      </c>
      <c r="I182" s="37" t="inlineStr">
        <is>
          <t>d40e62b4-9289-4d02-8d28-83095bd5cdf3</t>
        </is>
      </c>
      <c r="J182" s="37" t="inlineStr">
        <is>
          <t>qvf-app</t>
        </is>
      </c>
    </row>
    <row r="183">
      <c r="A183" s="32" t="inlineStr">
        <is>
          <t>Tutorial creazione nuova app</t>
        </is>
      </c>
      <c r="B183" s="32" t="inlineStr">
        <is>
          <t>varMinDate</t>
        </is>
      </c>
      <c r="C183" s="42" t="inlineStr">
        <is>
          <t>40920</t>
        </is>
      </c>
      <c r="D183" s="42" t="inlineStr"/>
      <c r="E183" s="34" t="n">
        <v>40920</v>
      </c>
      <c r="F183" s="32" t="inlineStr">
        <is>
          <t>No</t>
        </is>
      </c>
      <c r="G183" s="32" t="inlineStr">
        <is>
          <t>Yes</t>
        </is>
      </c>
      <c r="H183" s="32" t="inlineStr">
        <is>
          <t>qvapp_variablelist</t>
        </is>
      </c>
      <c r="I183" s="32" t="inlineStr">
        <is>
          <t>47b2fb71-bc2f-49fc-884c-92af024f11a3</t>
        </is>
      </c>
      <c r="J183" s="32" t="inlineStr">
        <is>
          <t>qvf-app</t>
        </is>
      </c>
    </row>
    <row r="184">
      <c r="A184" s="37" t="inlineStr">
        <is>
          <t>Tutorial creazione nuova app</t>
        </is>
      </c>
      <c r="B184" s="37" t="inlineStr">
        <is>
          <t>varMaxDate</t>
        </is>
      </c>
      <c r="C184" s="43" t="inlineStr">
        <is>
          <t>41816</t>
        </is>
      </c>
      <c r="D184" s="43" t="inlineStr"/>
      <c r="E184" s="39" t="n">
        <v>41816</v>
      </c>
      <c r="F184" s="37" t="inlineStr">
        <is>
          <t>No</t>
        </is>
      </c>
      <c r="G184" s="37" t="inlineStr">
        <is>
          <t>Yes</t>
        </is>
      </c>
      <c r="H184" s="37" t="inlineStr">
        <is>
          <t>qvapp_variablelist</t>
        </is>
      </c>
      <c r="I184" s="37" t="inlineStr">
        <is>
          <t>f476c76a-f66a-4bc0-b264-bd397e86f9d1</t>
        </is>
      </c>
      <c r="J184" s="37" t="inlineStr">
        <is>
          <t>qvf-app</t>
        </is>
      </c>
    </row>
    <row r="185">
      <c r="A185" s="32" t="inlineStr">
        <is>
          <t>Tutorial creazione script</t>
        </is>
      </c>
      <c r="B185" s="32" t="inlineStr">
        <is>
          <t>ErrorMode</t>
        </is>
      </c>
      <c r="C185" s="42" t="inlineStr"/>
      <c r="D185" s="42" t="inlineStr"/>
      <c r="E185" s="34" t="n">
        <v>1</v>
      </c>
      <c r="F185" s="32" t="inlineStr">
        <is>
          <t>No</t>
        </is>
      </c>
      <c r="G185" s="32" t="inlineStr">
        <is>
          <t>Yes</t>
        </is>
      </c>
      <c r="H185" s="32" t="inlineStr">
        <is>
          <t>qvapp_variablelist</t>
        </is>
      </c>
      <c r="I185" s="32" t="inlineStr">
        <is>
          <t>113b9889-0bd9-47f0-a59f-24e6bbd49679</t>
        </is>
      </c>
      <c r="J185" s="32" t="inlineStr">
        <is>
          <t>qvf-app</t>
        </is>
      </c>
    </row>
    <row r="186">
      <c r="A186" s="37" t="inlineStr">
        <is>
          <t>Tutorial creazione script</t>
        </is>
      </c>
      <c r="B186" s="37" t="inlineStr">
        <is>
          <t>StripComments</t>
        </is>
      </c>
      <c r="C186" s="43" t="inlineStr"/>
      <c r="D186" s="43" t="inlineStr"/>
      <c r="E186" s="39" t="n">
        <v>1</v>
      </c>
      <c r="F186" s="37" t="inlineStr">
        <is>
          <t>No</t>
        </is>
      </c>
      <c r="G186" s="37" t="inlineStr">
        <is>
          <t>Yes</t>
        </is>
      </c>
      <c r="H186" s="37" t="inlineStr">
        <is>
          <t>qvapp_variablelist</t>
        </is>
      </c>
      <c r="I186" s="37" t="inlineStr">
        <is>
          <t>24aaaade-bb01-4962-8f0f-56d52c07f3df</t>
        </is>
      </c>
      <c r="J186" s="37" t="inlineStr">
        <is>
          <t>qvf-app</t>
        </is>
      </c>
    </row>
    <row r="187">
      <c r="A187" s="32" t="inlineStr">
        <is>
          <t>Tutorial creazione script</t>
        </is>
      </c>
      <c r="B187" s="32" t="inlineStr">
        <is>
          <t>OpenUrlTimeout</t>
        </is>
      </c>
      <c r="C187" s="42" t="inlineStr"/>
      <c r="D187" s="42" t="inlineStr"/>
      <c r="E187" s="34" t="n">
        <v>86400</v>
      </c>
      <c r="F187" s="32" t="inlineStr">
        <is>
          <t>No</t>
        </is>
      </c>
      <c r="G187" s="32" t="inlineStr">
        <is>
          <t>Yes</t>
        </is>
      </c>
      <c r="H187" s="32" t="inlineStr">
        <is>
          <t>qvapp_variablelist</t>
        </is>
      </c>
      <c r="I187" s="32" t="inlineStr">
        <is>
          <t>d213a152-b864-49e5-a7ec-765982e06f1c</t>
        </is>
      </c>
      <c r="J187" s="32" t="inlineStr">
        <is>
          <t>qvf-app</t>
        </is>
      </c>
    </row>
    <row r="188">
      <c r="A188" s="37" t="inlineStr">
        <is>
          <t>Tutorial creazione script</t>
        </is>
      </c>
      <c r="B188" s="37" t="inlineStr">
        <is>
          <t>ScriptErrorCount</t>
        </is>
      </c>
      <c r="C188" s="43" t="inlineStr">
        <is>
          <t>0</t>
        </is>
      </c>
      <c r="D188" s="43" t="inlineStr"/>
      <c r="E188" s="39" t="n">
        <v>0</v>
      </c>
      <c r="F188" s="37" t="inlineStr">
        <is>
          <t>No</t>
        </is>
      </c>
      <c r="G188" s="37" t="inlineStr">
        <is>
          <t>Yes</t>
        </is>
      </c>
      <c r="H188" s="37" t="inlineStr">
        <is>
          <t>qvapp_variablelist</t>
        </is>
      </c>
      <c r="I188" s="37" t="inlineStr">
        <is>
          <t>b927d390-8df7-4f9f-b386-4f7492a6fd51</t>
        </is>
      </c>
      <c r="J188" s="37" t="inlineStr">
        <is>
          <t>qvf-app</t>
        </is>
      </c>
    </row>
    <row r="189">
      <c r="A189" s="32" t="inlineStr">
        <is>
          <t>Tutorial creazione script</t>
        </is>
      </c>
      <c r="B189" s="32" t="inlineStr">
        <is>
          <t>ScriptErrorList</t>
        </is>
      </c>
      <c r="C189" s="42" t="inlineStr"/>
      <c r="D189" s="42" t="inlineStr"/>
      <c r="E189" s="32" t="inlineStr">
        <is>
          <t>NaN</t>
        </is>
      </c>
      <c r="F189" s="32" t="inlineStr">
        <is>
          <t>No</t>
        </is>
      </c>
      <c r="G189" s="32" t="inlineStr">
        <is>
          <t>Yes</t>
        </is>
      </c>
      <c r="H189" s="32" t="inlineStr">
        <is>
          <t>qvapp_variablelist</t>
        </is>
      </c>
      <c r="I189" s="32" t="inlineStr">
        <is>
          <t>894a7348-c84f-47a5-a52e-0e5e7b2256ba</t>
        </is>
      </c>
      <c r="J189" s="32" t="inlineStr">
        <is>
          <t>qvf-app</t>
        </is>
      </c>
    </row>
    <row r="190">
      <c r="A190" s="37" t="inlineStr">
        <is>
          <t>Tutorial creazione script</t>
        </is>
      </c>
      <c r="B190" s="37" t="inlineStr">
        <is>
          <t>ScriptError</t>
        </is>
      </c>
      <c r="C190" s="43" t="inlineStr"/>
      <c r="D190" s="43" t="inlineStr"/>
      <c r="E190" s="39" t="n">
        <v>0</v>
      </c>
      <c r="F190" s="37" t="inlineStr">
        <is>
          <t>No</t>
        </is>
      </c>
      <c r="G190" s="37" t="inlineStr">
        <is>
          <t>Yes</t>
        </is>
      </c>
      <c r="H190" s="37" t="inlineStr">
        <is>
          <t>qvapp_variablelist</t>
        </is>
      </c>
      <c r="I190" s="37" t="inlineStr">
        <is>
          <t>c6c84112-a098-4786-8514-35f8ce57a84c</t>
        </is>
      </c>
      <c r="J190" s="37" t="inlineStr">
        <is>
          <t>qvf-app</t>
        </is>
      </c>
    </row>
    <row r="191">
      <c r="A191" s="32" t="inlineStr">
        <is>
          <t>Tutorial creazione script</t>
        </is>
      </c>
      <c r="B191" s="32" t="inlineStr">
        <is>
          <t>ThousandSep</t>
        </is>
      </c>
      <c r="C191" s="42" t="inlineStr">
        <is>
          <t>.</t>
        </is>
      </c>
      <c r="D191" s="42" t="inlineStr"/>
      <c r="E191" s="32" t="inlineStr">
        <is>
          <t>NaN</t>
        </is>
      </c>
      <c r="F191" s="32" t="inlineStr">
        <is>
          <t>No</t>
        </is>
      </c>
      <c r="G191" s="32" t="inlineStr">
        <is>
          <t>Yes</t>
        </is>
      </c>
      <c r="H191" s="32" t="inlineStr">
        <is>
          <t>qvapp_variablelist</t>
        </is>
      </c>
      <c r="I191" s="32" t="inlineStr">
        <is>
          <t>ead2fd69-c0fd-4653-a8d3-db022e0355e8</t>
        </is>
      </c>
      <c r="J191" s="32" t="inlineStr">
        <is>
          <t>qvf-app</t>
        </is>
      </c>
    </row>
    <row r="192">
      <c r="A192" s="37" t="inlineStr">
        <is>
          <t>Tutorial creazione script</t>
        </is>
      </c>
      <c r="B192" s="37" t="inlineStr">
        <is>
          <t>DecimalSep</t>
        </is>
      </c>
      <c r="C192" s="43" t="inlineStr">
        <is>
          <t>,</t>
        </is>
      </c>
      <c r="D192" s="43" t="inlineStr"/>
      <c r="E192" s="37" t="inlineStr">
        <is>
          <t>NaN</t>
        </is>
      </c>
      <c r="F192" s="37" t="inlineStr">
        <is>
          <t>No</t>
        </is>
      </c>
      <c r="G192" s="37" t="inlineStr">
        <is>
          <t>Yes</t>
        </is>
      </c>
      <c r="H192" s="37" t="inlineStr">
        <is>
          <t>qvapp_variablelist</t>
        </is>
      </c>
      <c r="I192" s="37" t="inlineStr">
        <is>
          <t>2e9582a1-7589-44a6-8b1f-5ec233f5d57b</t>
        </is>
      </c>
      <c r="J192" s="37" t="inlineStr">
        <is>
          <t>qvf-app</t>
        </is>
      </c>
    </row>
    <row r="193">
      <c r="A193" s="32" t="inlineStr">
        <is>
          <t>Tutorial creazione script</t>
        </is>
      </c>
      <c r="B193" s="32" t="inlineStr">
        <is>
          <t>MoneyThousandSep</t>
        </is>
      </c>
      <c r="C193" s="42" t="inlineStr">
        <is>
          <t>.</t>
        </is>
      </c>
      <c r="D193" s="42" t="inlineStr"/>
      <c r="E193" s="32" t="inlineStr">
        <is>
          <t>NaN</t>
        </is>
      </c>
      <c r="F193" s="32" t="inlineStr">
        <is>
          <t>No</t>
        </is>
      </c>
      <c r="G193" s="32" t="inlineStr">
        <is>
          <t>Yes</t>
        </is>
      </c>
      <c r="H193" s="32" t="inlineStr">
        <is>
          <t>qvapp_variablelist</t>
        </is>
      </c>
      <c r="I193" s="32" t="inlineStr">
        <is>
          <t>2163078f-bd84-4745-bf92-3b07b2726838</t>
        </is>
      </c>
      <c r="J193" s="32" t="inlineStr">
        <is>
          <t>qvf-app</t>
        </is>
      </c>
    </row>
    <row r="194">
      <c r="A194" s="37" t="inlineStr">
        <is>
          <t>Tutorial creazione script</t>
        </is>
      </c>
      <c r="B194" s="37" t="inlineStr">
        <is>
          <t>MoneyDecimalSep</t>
        </is>
      </c>
      <c r="C194" s="43" t="inlineStr">
        <is>
          <t>,</t>
        </is>
      </c>
      <c r="D194" s="43" t="inlineStr"/>
      <c r="E194" s="37" t="inlineStr">
        <is>
          <t>NaN</t>
        </is>
      </c>
      <c r="F194" s="37" t="inlineStr">
        <is>
          <t>No</t>
        </is>
      </c>
      <c r="G194" s="37" t="inlineStr">
        <is>
          <t>Yes</t>
        </is>
      </c>
      <c r="H194" s="37" t="inlineStr">
        <is>
          <t>qvapp_variablelist</t>
        </is>
      </c>
      <c r="I194" s="37" t="inlineStr">
        <is>
          <t>a6415dd9-3686-4ad0-bf74-99f875b6e1b7</t>
        </is>
      </c>
      <c r="J194" s="37" t="inlineStr">
        <is>
          <t>qvf-app</t>
        </is>
      </c>
    </row>
    <row r="195">
      <c r="A195" s="32" t="inlineStr">
        <is>
          <t>Tutorial creazione script</t>
        </is>
      </c>
      <c r="B195" s="32" t="inlineStr">
        <is>
          <t>MoneyFormat</t>
        </is>
      </c>
      <c r="C195" s="42" t="inlineStr">
        <is>
          <t>€ #.##0,00;-€ #.##0,00</t>
        </is>
      </c>
      <c r="D195" s="42" t="inlineStr"/>
      <c r="E195" s="32" t="inlineStr">
        <is>
          <t>NaN</t>
        </is>
      </c>
      <c r="F195" s="32" t="inlineStr">
        <is>
          <t>No</t>
        </is>
      </c>
      <c r="G195" s="32" t="inlineStr">
        <is>
          <t>Yes</t>
        </is>
      </c>
      <c r="H195" s="32" t="inlineStr">
        <is>
          <t>qvapp_variablelist</t>
        </is>
      </c>
      <c r="I195" s="32" t="inlineStr">
        <is>
          <t>869437ba-0469-4d90-abfa-54360f2269ce</t>
        </is>
      </c>
      <c r="J195" s="32" t="inlineStr">
        <is>
          <t>qvf-app</t>
        </is>
      </c>
    </row>
    <row r="196">
      <c r="A196" s="37" t="inlineStr">
        <is>
          <t>Tutorial creazione script</t>
        </is>
      </c>
      <c r="B196" s="37" t="inlineStr">
        <is>
          <t>TimeFormat</t>
        </is>
      </c>
      <c r="C196" s="43" t="inlineStr">
        <is>
          <t>hh:mm:ss</t>
        </is>
      </c>
      <c r="D196" s="43" t="inlineStr"/>
      <c r="E196" s="37" t="inlineStr">
        <is>
          <t>NaN</t>
        </is>
      </c>
      <c r="F196" s="37" t="inlineStr">
        <is>
          <t>No</t>
        </is>
      </c>
      <c r="G196" s="37" t="inlineStr">
        <is>
          <t>Yes</t>
        </is>
      </c>
      <c r="H196" s="37" t="inlineStr">
        <is>
          <t>qvapp_variablelist</t>
        </is>
      </c>
      <c r="I196" s="37" t="inlineStr">
        <is>
          <t>365ee819-f0ab-49ed-802f-27be16f6d507</t>
        </is>
      </c>
      <c r="J196" s="37" t="inlineStr">
        <is>
          <t>qvf-app</t>
        </is>
      </c>
    </row>
    <row r="197">
      <c r="A197" s="32" t="inlineStr">
        <is>
          <t>Tutorial creazione script</t>
        </is>
      </c>
      <c r="B197" s="32" t="inlineStr">
        <is>
          <t>DateFormat</t>
        </is>
      </c>
      <c r="C197" s="42" t="inlineStr">
        <is>
          <t>DD/MM/YYYY</t>
        </is>
      </c>
      <c r="D197" s="42" t="inlineStr"/>
      <c r="E197" s="32" t="inlineStr">
        <is>
          <t>NaN</t>
        </is>
      </c>
      <c r="F197" s="32" t="inlineStr">
        <is>
          <t>No</t>
        </is>
      </c>
      <c r="G197" s="32" t="inlineStr">
        <is>
          <t>Yes</t>
        </is>
      </c>
      <c r="H197" s="32" t="inlineStr">
        <is>
          <t>qvapp_variablelist</t>
        </is>
      </c>
      <c r="I197" s="32" t="inlineStr">
        <is>
          <t>607b80d4-be71-48ba-8c6a-fb1c68f99791</t>
        </is>
      </c>
      <c r="J197" s="32" t="inlineStr">
        <is>
          <t>qvf-app</t>
        </is>
      </c>
    </row>
    <row r="198">
      <c r="A198" s="37" t="inlineStr">
        <is>
          <t>Tutorial creazione script</t>
        </is>
      </c>
      <c r="B198" s="37" t="inlineStr">
        <is>
          <t>TimestampFormat</t>
        </is>
      </c>
      <c r="C198" s="43" t="inlineStr">
        <is>
          <t>DD/MM/YYYY hh:mm:ss[.fff]</t>
        </is>
      </c>
      <c r="D198" s="43" t="inlineStr"/>
      <c r="E198" s="37" t="inlineStr">
        <is>
          <t>NaN</t>
        </is>
      </c>
      <c r="F198" s="37" t="inlineStr">
        <is>
          <t>No</t>
        </is>
      </c>
      <c r="G198" s="37" t="inlineStr">
        <is>
          <t>Yes</t>
        </is>
      </c>
      <c r="H198" s="37" t="inlineStr">
        <is>
          <t>qvapp_variablelist</t>
        </is>
      </c>
      <c r="I198" s="37" t="inlineStr">
        <is>
          <t>20f0017d-b623-4eef-8812-419e37268253</t>
        </is>
      </c>
      <c r="J198" s="37" t="inlineStr">
        <is>
          <t>qvf-app</t>
        </is>
      </c>
    </row>
    <row r="199">
      <c r="A199" s="32" t="inlineStr">
        <is>
          <t>Tutorial creazione script</t>
        </is>
      </c>
      <c r="B199" s="32" t="inlineStr">
        <is>
          <t>MonthNames</t>
        </is>
      </c>
      <c r="C199" s="42" t="inlineStr">
        <is>
          <t>gen;feb;mar;apr;mag;giu;lug;ago;set;ott;nov;dic</t>
        </is>
      </c>
      <c r="D199" s="42" t="inlineStr"/>
      <c r="E199" s="32" t="inlineStr">
        <is>
          <t>NaN</t>
        </is>
      </c>
      <c r="F199" s="32" t="inlineStr">
        <is>
          <t>No</t>
        </is>
      </c>
      <c r="G199" s="32" t="inlineStr">
        <is>
          <t>Yes</t>
        </is>
      </c>
      <c r="H199" s="32" t="inlineStr">
        <is>
          <t>qvapp_variablelist</t>
        </is>
      </c>
      <c r="I199" s="32" t="inlineStr">
        <is>
          <t>fe4baccd-8b80-4fe5-9e45-fe6999039918</t>
        </is>
      </c>
      <c r="J199" s="32" t="inlineStr">
        <is>
          <t>qvf-app</t>
        </is>
      </c>
    </row>
    <row r="200">
      <c r="A200" s="37" t="inlineStr">
        <is>
          <t>Tutorial creazione script</t>
        </is>
      </c>
      <c r="B200" s="37" t="inlineStr">
        <is>
          <t>DayNames</t>
        </is>
      </c>
      <c r="C200" s="43" t="inlineStr">
        <is>
          <t>lun;mar;mer;gio;ven;sab;dom</t>
        </is>
      </c>
      <c r="D200" s="43" t="inlineStr"/>
      <c r="E200" s="37" t="inlineStr">
        <is>
          <t>NaN</t>
        </is>
      </c>
      <c r="F200" s="37" t="inlineStr">
        <is>
          <t>No</t>
        </is>
      </c>
      <c r="G200" s="37" t="inlineStr">
        <is>
          <t>Yes</t>
        </is>
      </c>
      <c r="H200" s="37" t="inlineStr">
        <is>
          <t>qvapp_variablelist</t>
        </is>
      </c>
      <c r="I200" s="37" t="inlineStr">
        <is>
          <t>c0ef43b8-497b-4d93-9b72-97cb782b3a4c</t>
        </is>
      </c>
      <c r="J200" s="37" t="inlineStr">
        <is>
          <t>qvf-app</t>
        </is>
      </c>
    </row>
    <row r="201">
      <c r="A201" s="32" t="inlineStr">
        <is>
          <t>Tutorial creazione script</t>
        </is>
      </c>
      <c r="B201" s="32" t="inlineStr">
        <is>
          <t>LongMonthNames</t>
        </is>
      </c>
      <c r="C201" s="42" t="inlineStr">
        <is>
          <t>gennaio;febbraio;marzo;aprile;maggio;giugno;luglio;agosto;settembre;ottobre;novembre;dicembre</t>
        </is>
      </c>
      <c r="D201" s="42" t="inlineStr"/>
      <c r="E201" s="32" t="inlineStr">
        <is>
          <t>NaN</t>
        </is>
      </c>
      <c r="F201" s="32" t="inlineStr">
        <is>
          <t>No</t>
        </is>
      </c>
      <c r="G201" s="32" t="inlineStr">
        <is>
          <t>Yes</t>
        </is>
      </c>
      <c r="H201" s="32" t="inlineStr">
        <is>
          <t>qvapp_variablelist</t>
        </is>
      </c>
      <c r="I201" s="32" t="inlineStr">
        <is>
          <t>218a7a75-d5e6-4e05-96e4-d355f8b5cec1</t>
        </is>
      </c>
      <c r="J201" s="32" t="inlineStr">
        <is>
          <t>qvf-app</t>
        </is>
      </c>
    </row>
    <row r="202">
      <c r="A202" s="37" t="inlineStr">
        <is>
          <t>Tutorial creazione script</t>
        </is>
      </c>
      <c r="B202" s="37" t="inlineStr">
        <is>
          <t>LongDayNames</t>
        </is>
      </c>
      <c r="C202" s="43" t="inlineStr">
        <is>
          <t>lunedì;martedì;mercoledì;giovedì;venerdì;sabato;domenica</t>
        </is>
      </c>
      <c r="D202" s="43" t="inlineStr"/>
      <c r="E202" s="37" t="inlineStr">
        <is>
          <t>NaN</t>
        </is>
      </c>
      <c r="F202" s="37" t="inlineStr">
        <is>
          <t>No</t>
        </is>
      </c>
      <c r="G202" s="37" t="inlineStr">
        <is>
          <t>Yes</t>
        </is>
      </c>
      <c r="H202" s="37" t="inlineStr">
        <is>
          <t>qvapp_variablelist</t>
        </is>
      </c>
      <c r="I202" s="37" t="inlineStr">
        <is>
          <t>a4945037-a5ae-4415-9bff-ca61b0ae33d7</t>
        </is>
      </c>
      <c r="J202" s="37" t="inlineStr">
        <is>
          <t>qvf-app</t>
        </is>
      </c>
    </row>
    <row r="203">
      <c r="A203" s="32" t="inlineStr">
        <is>
          <t>Tutorial creazione script</t>
        </is>
      </c>
      <c r="B203" s="32" t="inlineStr">
        <is>
          <t>FirstWeekDay</t>
        </is>
      </c>
      <c r="C203" s="42" t="inlineStr">
        <is>
          <t>0</t>
        </is>
      </c>
      <c r="D203" s="42" t="inlineStr"/>
      <c r="E203" s="34" t="n">
        <v>0</v>
      </c>
      <c r="F203" s="32" t="inlineStr">
        <is>
          <t>No</t>
        </is>
      </c>
      <c r="G203" s="32" t="inlineStr">
        <is>
          <t>Yes</t>
        </is>
      </c>
      <c r="H203" s="32" t="inlineStr">
        <is>
          <t>qvapp_variablelist</t>
        </is>
      </c>
      <c r="I203" s="32" t="inlineStr">
        <is>
          <t>857cf8a7-dca6-4116-9a0c-13f4cc3b3e0c</t>
        </is>
      </c>
      <c r="J203" s="32" t="inlineStr">
        <is>
          <t>qvf-app</t>
        </is>
      </c>
    </row>
    <row r="204">
      <c r="A204" s="37" t="inlineStr">
        <is>
          <t>Tutorial creazione script</t>
        </is>
      </c>
      <c r="B204" s="37" t="inlineStr">
        <is>
          <t>BrokenWeeks</t>
        </is>
      </c>
      <c r="C204" s="43" t="inlineStr">
        <is>
          <t>0</t>
        </is>
      </c>
      <c r="D204" s="43" t="inlineStr"/>
      <c r="E204" s="39" t="n">
        <v>0</v>
      </c>
      <c r="F204" s="37" t="inlineStr">
        <is>
          <t>No</t>
        </is>
      </c>
      <c r="G204" s="37" t="inlineStr">
        <is>
          <t>Yes</t>
        </is>
      </c>
      <c r="H204" s="37" t="inlineStr">
        <is>
          <t>qvapp_variablelist</t>
        </is>
      </c>
      <c r="I204" s="37" t="inlineStr">
        <is>
          <t>572815fd-c110-4511-8941-0a3d7838e9b0</t>
        </is>
      </c>
      <c r="J204" s="37" t="inlineStr">
        <is>
          <t>qvf-app</t>
        </is>
      </c>
    </row>
    <row r="205">
      <c r="A205" s="32" t="inlineStr">
        <is>
          <t>Tutorial creazione script</t>
        </is>
      </c>
      <c r="B205" s="32" t="inlineStr">
        <is>
          <t>ReferenceDay</t>
        </is>
      </c>
      <c r="C205" s="42" t="inlineStr">
        <is>
          <t>4</t>
        </is>
      </c>
      <c r="D205" s="42" t="inlineStr"/>
      <c r="E205" s="34" t="n">
        <v>4</v>
      </c>
      <c r="F205" s="32" t="inlineStr">
        <is>
          <t>No</t>
        </is>
      </c>
      <c r="G205" s="32" t="inlineStr">
        <is>
          <t>Yes</t>
        </is>
      </c>
      <c r="H205" s="32" t="inlineStr">
        <is>
          <t>qvapp_variablelist</t>
        </is>
      </c>
      <c r="I205" s="32" t="inlineStr">
        <is>
          <t>d8ef4917-a61a-4953-826f-ec2fd000c714</t>
        </is>
      </c>
      <c r="J205" s="32" t="inlineStr">
        <is>
          <t>qvf-app</t>
        </is>
      </c>
    </row>
    <row r="206">
      <c r="A206" s="37" t="inlineStr">
        <is>
          <t>Tutorial creazione script</t>
        </is>
      </c>
      <c r="B206" s="37" t="inlineStr">
        <is>
          <t>FirstMonthOfYear</t>
        </is>
      </c>
      <c r="C206" s="43" t="inlineStr">
        <is>
          <t>1</t>
        </is>
      </c>
      <c r="D206" s="43" t="inlineStr"/>
      <c r="E206" s="39" t="n">
        <v>1</v>
      </c>
      <c r="F206" s="37" t="inlineStr">
        <is>
          <t>No</t>
        </is>
      </c>
      <c r="G206" s="37" t="inlineStr">
        <is>
          <t>Yes</t>
        </is>
      </c>
      <c r="H206" s="37" t="inlineStr">
        <is>
          <t>qvapp_variablelist</t>
        </is>
      </c>
      <c r="I206" s="37" t="inlineStr">
        <is>
          <t>d45b0043-68bd-4f16-b906-f47944db2250</t>
        </is>
      </c>
      <c r="J206" s="37" t="inlineStr">
        <is>
          <t>qvf-app</t>
        </is>
      </c>
    </row>
    <row r="207">
      <c r="A207" s="32" t="inlineStr">
        <is>
          <t>Tutorial creazione script</t>
        </is>
      </c>
      <c r="B207" s="32" t="inlineStr">
        <is>
          <t>CollationLocale</t>
        </is>
      </c>
      <c r="C207" s="42" t="inlineStr">
        <is>
          <t>it-IT</t>
        </is>
      </c>
      <c r="D207" s="42" t="inlineStr"/>
      <c r="E207" s="32" t="inlineStr">
        <is>
          <t>NaN</t>
        </is>
      </c>
      <c r="F207" s="32" t="inlineStr">
        <is>
          <t>No</t>
        </is>
      </c>
      <c r="G207" s="32" t="inlineStr">
        <is>
          <t>Yes</t>
        </is>
      </c>
      <c r="H207" s="32" t="inlineStr">
        <is>
          <t>qvapp_variablelist</t>
        </is>
      </c>
      <c r="I207" s="32" t="inlineStr">
        <is>
          <t>e55f253a-9748-480b-bb48-1c48ac26c641</t>
        </is>
      </c>
      <c r="J207" s="32" t="inlineStr">
        <is>
          <t>qvf-app</t>
        </is>
      </c>
    </row>
  </sheetData>
  <autoFilter ref="A6:J207"/>
  <mergeCells count="1">
    <mergeCell ref="C2:G3"/>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2C4650"/>
    <outlinePr summaryBelow="1" summaryRight="1"/>
    <pageSetUpPr fitToPage="1"/>
  </sheetPr>
  <dimension ref="A2:F106"/>
  <sheetViews>
    <sheetView showGridLines="0" workbookViewId="0">
      <pane ySplit="6" topLeftCell="A7" activePane="bottomLeft" state="frozen"/>
      <selection pane="bottomLeft" activeCell="A1" sqref="A1"/>
    </sheetView>
  </sheetViews>
  <sheetFormatPr baseColWidth="8" defaultRowHeight="15"/>
  <cols>
    <col width="26" customWidth="1" min="1" max="1"/>
    <col width="16" customWidth="1" min="2" max="2"/>
    <col width="32" customWidth="1" min="3" max="3"/>
    <col width="50" customWidth="1" min="4" max="4"/>
    <col width="22" customWidth="1" min="5" max="5"/>
    <col width="70" customWidth="1" min="6" max="6"/>
  </cols>
  <sheetData>
    <row r="1" ht="24" customHeight="1"/>
    <row r="2" ht="24" customHeight="1">
      <c r="C2" s="1" t="inlineStr">
        <is>
          <t>Bookmarks  ·  saved selections</t>
        </is>
      </c>
    </row>
    <row r="3" ht="20" customHeight="1"/>
    <row r="4" ht="10" customHeight="1"/>
    <row r="5" ht="18" customHeight="1">
      <c r="A5" s="29">
        <f>HYPERLINK("#'Discovery'!A1","«  Back to Discovery")</f>
        <v/>
      </c>
      <c r="B5" s="30" t="inlineStr">
        <is>
          <t>Saved selections with title, description and stored selection text.</t>
        </is>
      </c>
    </row>
    <row r="6" ht="30" customHeight="1">
      <c r="A6" s="31" t="inlineStr">
        <is>
          <t>App</t>
        </is>
      </c>
      <c r="B6" s="31" t="inlineStr">
        <is>
          <t>ID</t>
        </is>
      </c>
      <c r="C6" s="31" t="inlineStr">
        <is>
          <t>Title</t>
        </is>
      </c>
      <c r="D6" s="31" t="inlineStr">
        <is>
          <t>Description</t>
        </is>
      </c>
      <c r="E6" s="31" t="inlineStr">
        <is>
          <t>Created</t>
        </is>
      </c>
      <c r="F6" s="31" t="inlineStr">
        <is>
          <t>Stored strings (selections)</t>
        </is>
      </c>
    </row>
    <row r="7">
      <c r="A7" s="32" t="inlineStr">
        <is>
          <t>Executive Dashboard</t>
        </is>
      </c>
      <c r="B7" s="32" t="inlineStr">
        <is>
          <t>SmDXrz</t>
        </is>
      </c>
      <c r="C7" s="32" t="inlineStr"/>
      <c r="D7" s="42" t="inlineStr"/>
      <c r="E7" s="32" t="inlineStr"/>
      <c r="F7" s="42" t="inlineStr">
        <is>
          <t>JsonProperty | sheetId | "FaQeFa" | JsonProperty&gt; | selectionFields | "Product Sub Group Desc, Sales Rep Name" | JsonProperty | creationDate | "2014-08-14" | qInfo | SmDXrz | bookmark | qMetaDef | JsonProperty/ | title | "Sales Analysis - Low Margin Sales" | JsonProperty | description | Product Sub Group Desc | Wine | Preserves | Sugar | Coffee | Cheese | Deli Meats | Hot Dogs | Bologna | Fresh Vegetables | Fresh Fruit | Sales Rep Name | Amalia Craig | Brenda Kegler | Cart Lynch | Cary Frank | Deborah Halmon | Dennis Fisher | Judy Rowlett | Cheryle Sincock | Don Simmons | Jimmie Holley</t>
        </is>
      </c>
    </row>
    <row r="8">
      <c r="A8" s="37" t="inlineStr">
        <is>
          <t>Executive Dashboard</t>
        </is>
      </c>
      <c r="B8" s="37" t="inlineStr">
        <is>
          <t>gG01</t>
        </is>
      </c>
      <c r="C8" s="37" t="inlineStr"/>
      <c r="D8" s="43" t="inlineStr"/>
      <c r="E8" s="37" t="inlineStr"/>
      <c r="F8" s="43"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9">
      <c r="A9" s="32" t="inlineStr">
        <is>
          <t>Executive Dashboard</t>
        </is>
      </c>
      <c r="B9" s="32" t="inlineStr">
        <is>
          <t>QTzpe</t>
        </is>
      </c>
      <c r="C9" s="32" t="inlineStr"/>
      <c r="D9" s="42" t="inlineStr"/>
      <c r="E9" s="32" t="inlineStr"/>
      <c r="F9" s="42" t="inlineStr">
        <is>
          <t>JsonProperty# | title | "Average Sales Per Day" | JsonProperty | description | JsonProperty | sheetId | "FaQeFa" | JsonProperty | creationDate | "2014-02-13" | JsonObject | qMeta | JsonObject | qSelectionInfo | HyperCube | qHyperCube | JsonProperty | title | "Year Month" | JsonProperty | autoSort | true | JsonProperty | cId | "EtdNTQp" | JsonProperty | othersLabel | "Others"
Year Month | Year Month | $key | $numeric | $integer
$timestamp | $date | JsonProperty | autoSort | true | JsonProperty | cId | "SwcJjj"</t>
        </is>
      </c>
    </row>
    <row r="10">
      <c r="A10" s="37" t="inlineStr">
        <is>
          <t>Executive Dashboard</t>
        </is>
      </c>
      <c r="B10" s="37" t="inlineStr">
        <is>
          <t>PqgqBSe</t>
        </is>
      </c>
      <c r="C10" s="37" t="inlineStr"/>
      <c r="D10" s="43" t="inlineStr"/>
      <c r="E10" s="37" t="inlineStr"/>
      <c r="F10" s="43" t="inlineStr">
        <is>
          <t>JsonProperty: | title | "Total Revenue by Product Group = $18,226,161" | JsonProperty | description | JsonProperty | sheetId | "FaQeFa" | JsonProperty | creationDate | "2014-02-13" | JsonObject | qMeta | JsonObject | qSelectionInfo | HyperCube | qHyperCube | JsonProperty$ | title | "Product Sub Group Desc" | JsonProperty | autoSort | true | JsonProperty | cId | "HBLVQ" | JsonProperty | othersLabel | "Others" | Product Sub Group Desc | Product Sub Group Desc | $ascii | $text | JsonProperty | autoSort | true | JsonProperty | cId | "GCkjvhs" | Revenue</t>
        </is>
      </c>
    </row>
    <row r="11">
      <c r="A11" s="32" t="inlineStr">
        <is>
          <t>Executive Dashboard</t>
        </is>
      </c>
      <c r="B11" s="32" t="inlineStr">
        <is>
          <t>EQ01</t>
        </is>
      </c>
      <c r="C11" s="32" t="inlineStr"/>
      <c r="D11" s="42" t="inlineStr"/>
      <c r="E11" s="32" t="inlineStr"/>
      <c r="F11" s="42" t="inlineStr">
        <is>
          <t>JsonProperty" | title | "Revenue by Sales Rep" | JsonProperty | description | JsonProperty | sheetId | "JsCeVm" | JsonProperty | creationDate | "2014-02-13" | JsonObject | qMeta | JsonObject | qSelectionInfo | HyperCube | qHyperCube | JsonProperty | title | "Segment" | JsonProperty | autoSort | true | JsonProperty | cId | "pZXhfv" | JsonProperty | othersLabel | "Others" | Segment | Segment | $ascii | $text | JsonProperty | title | "Sales Rep Name" | JsonProperty | autoSort | true | JsonProperty</t>
        </is>
      </c>
    </row>
    <row r="12">
      <c r="A12" s="37" t="inlineStr">
        <is>
          <t>Executive Dashboard</t>
        </is>
      </c>
      <c r="B12" s="37" t="inlineStr">
        <is>
          <t>maUepV</t>
        </is>
      </c>
      <c r="C12" s="37" t="inlineStr"/>
      <c r="D12" s="43" t="inlineStr"/>
      <c r="E12" s="37" t="inlineStr"/>
      <c r="F12" s="43" t="inlineStr">
        <is>
          <t>JsonProperty1 | title | "Avg Sales Per Day vs AR Avg Balance" | JsonProperty | description | JsonProperty | sheetId | "JsCeVm" | JsonProperty | creationDate | "2014-02-13" | JsonObject | qMeta | JsonObject | qSelectionInfo | HyperCube | qHyperCube | JsonProperty | title | "Customer" | JsonProperty | autoSort | true | JsonProperty | cId | "PQLbzwV" | JsonProperty | othersLabel | "Others" | Customer" | Customer | $text | JsonProperty | autoSort | true | JsonProperty | cId | "apJF" | AR Average Balance | JsonProperty</t>
        </is>
      </c>
    </row>
    <row r="13">
      <c r="A13" s="32" t="inlineStr">
        <is>
          <t>Executive Dashboard</t>
        </is>
      </c>
      <c r="B13" s="32" t="inlineStr">
        <is>
          <t>MpPJDAW</t>
        </is>
      </c>
      <c r="C13" s="32" t="inlineStr"/>
      <c r="D13" s="42" t="inlineStr"/>
      <c r="E13" s="32" t="inlineStr"/>
      <c r="F13" s="42"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14">
      <c r="A14" s="37" t="inlineStr">
        <is>
          <t>Executive Dashboard</t>
        </is>
      </c>
      <c r="B14" s="37" t="inlineStr">
        <is>
          <t>VpUAq</t>
        </is>
      </c>
      <c r="C14" s="37" t="inlineStr"/>
      <c r="D14" s="43" t="inlineStr"/>
      <c r="E14" s="37" t="inlineStr"/>
      <c r="F14" s="43" t="inlineStr">
        <is>
          <t>JsonProperty | title | JsonProperty | description | JsonProperty | sheetId | "JsCeVm" | JsonProperty | creationDate | "2014-02-13" | JsonObject | qMeta | JsonObject | qSelectionInfo | HyperCube | qHyperCube | JsonProperty | autoSort | true | JsonProperty | cId | "jjyuUY" | Days Sales Outstanding | #,##0 | ,@Tb~ | @Tb~ | 82@Tb~ | 82@Tb~ | 82@Tb~ | JsonObject( | refLine | JsonArray | refLines | JsonProperty | showTitles | true | JsonProperty | subtitle | JsonProperty | footnote</t>
        </is>
      </c>
    </row>
    <row r="15">
      <c r="A15" s="32" t="inlineStr">
        <is>
          <t>Executive Dashboard</t>
        </is>
      </c>
      <c r="B15" s="32" t="inlineStr">
        <is>
          <t>Vp01</t>
        </is>
      </c>
      <c r="C15" s="32" t="inlineStr"/>
      <c r="D15" s="42" t="inlineStr"/>
      <c r="E15" s="32" t="inlineStr"/>
      <c r="F15" s="42" t="inlineStr">
        <is>
          <t>JsonProperty | title | JsonProperty | description | JsonProperty | sheetId | "JsCeVm" | JsonProperty | creationDate | "2014-02-13" | JsonObject | qMeta | JsonObject | qSelectionInfo | HyperCube | qHyperCube | JsonProperty | autoSort | true | JsonProperty | cId | "jjyuUY" | Days Sales Outstanding | #,##0 | ,@Tb~ | @Tb~ | 82@Tb~ | 82@Tb~ | 82@Tb~ | JsonObject( | refLine | JsonArray | refLines | JsonProperty | showTitles | true | JsonProperty | subtitle | JsonProperty | footnote</t>
        </is>
      </c>
    </row>
    <row r="16">
      <c r="A16" s="37" t="inlineStr">
        <is>
          <t>Executive Dashboard</t>
        </is>
      </c>
      <c r="B16" s="37" t="inlineStr">
        <is>
          <t>ML01</t>
        </is>
      </c>
      <c r="C16" s="37" t="inlineStr"/>
      <c r="D16" s="43" t="inlineStr"/>
      <c r="E16" s="37" t="inlineStr"/>
      <c r="F16" s="43"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17">
      <c r="A17" s="32" t="inlineStr">
        <is>
          <t>Executive Dashboard</t>
        </is>
      </c>
      <c r="B17" s="32" t="inlineStr">
        <is>
          <t>TaukZtb</t>
        </is>
      </c>
      <c r="C17" s="32" t="inlineStr"/>
      <c r="D17" s="42" t="inlineStr"/>
      <c r="E17" s="32" t="inlineStr"/>
      <c r="F17" s="42" t="inlineStr">
        <is>
          <t>JsonProperty: | title | "Total Revenue by Product Group = $23,251,083" | JsonProperty | description | JsonProperty | sheetId | "FaQeFa" | JsonProperty | creationDate | "2014-02-13" | JsonObject | qMeta | JsonObject | qSelectionInfo | HyperCube | qHyperCube | JsonProperty$ | title | "Product Sub Group Desc" | JsonProperty | autoSort | true | JsonProperty | cId | "HBLVQ" | JsonProperty | othersLabel | "Others" | Product Sub Group Desc | Product Sub Group Desc | $ascii | $text | JsonProperty | autoSort | true | JsonProperty | cId | "GCkjvhs" | Revenue</t>
        </is>
      </c>
    </row>
    <row r="18">
      <c r="A18" s="37" t="inlineStr">
        <is>
          <t>Executive Dashboard</t>
        </is>
      </c>
      <c r="B18" s="37" t="inlineStr">
        <is>
          <t>uFjMpUZ</t>
        </is>
      </c>
      <c r="C18" s="37" t="inlineStr"/>
      <c r="D18" s="43" t="inlineStr"/>
      <c r="E18" s="37" t="inlineStr"/>
      <c r="F18" s="43" t="inlineStr">
        <is>
          <t>JsonProperty | sheetId | "FaQeFa" | JsonProperty&gt; | selectionFields | "Product Sub Group Desc, Sales Rep Name" | JsonProperty | creationDate | "2014-08-14" | qInfo | uFjMpUZ | bookmark | qMetaDef | JsonProperty0 | title | "Sales Analysis - High Margin Sales" | JsonProperty | description | Product Sub Group Desc | Wine | Preserves | Sugar | Coffee | Cheese | Deli Meats | Hot Dogs | Bologna | Fresh Vegetables | Fresh Fruit | Sales Rep Name | Amanda Honda | Amelia Fields | Brenda Gibson | Craig Lary | David Howard | David Laychak | John Greg | Edward Laychak | John Davis | Janice Scott</t>
        </is>
      </c>
    </row>
    <row r="19">
      <c r="A19" s="32" t="inlineStr">
        <is>
          <t>Executive Dashboard</t>
        </is>
      </c>
      <c r="B19" s="32" t="inlineStr">
        <is>
          <t>EQBbmb</t>
        </is>
      </c>
      <c r="C19" s="32" t="inlineStr"/>
      <c r="D19" s="42" t="inlineStr"/>
      <c r="E19" s="32" t="inlineStr"/>
      <c r="F19" s="42" t="inlineStr">
        <is>
          <t>JsonProperty" | title | "Revenue by Sales Rep" | JsonProperty | description | JsonProperty | sheetId | "JsCeVm" | JsonProperty | creationDate | "2014-02-13" | JsonObject | qMeta | JsonObject | qSelectionInfo | HyperCube | qHyperCube | JsonProperty | title | "Segment" | JsonProperty | autoSort | true | JsonProperty | cId | "pZXhfv" | JsonProperty | othersLabel | "Others" | Segment | Segment | $ascii | $text | JsonProperty | title | "Sales Rep Name" | JsonProperty | autoSort | true | JsonProperty</t>
        </is>
      </c>
    </row>
    <row r="20">
      <c r="A20" s="37" t="inlineStr">
        <is>
          <t>Executive Dashboard</t>
        </is>
      </c>
      <c r="B20" s="37" t="inlineStr">
        <is>
          <t>QeSbaD</t>
        </is>
      </c>
      <c r="C20" s="37" t="inlineStr"/>
      <c r="D20" s="43" t="inlineStr"/>
      <c r="E20" s="37" t="inlineStr"/>
      <c r="F20" s="43" t="inlineStr">
        <is>
          <t>JsonProperty | title | JsonProperty | description | JsonProperty | sheetId | "JsCeVm" | JsonProperty | creationDate | "2014-02-13" | JsonObject | qMeta | JsonObject | qSelectionInfo | HyperCube | qHyperCube | JsonProperty | autoSort | true | JsonProperty | cId | "jjyuUY" | Days Sales Outstanding | #,##0 | ,@T | r?iN]@T | r?iN] | 83@T | r?iN] | 83@T | r?iN] | 83@T | r?iN] | JsonObject( | refLine | JsonArray | refLines | JsonProperty | showTitles | true</t>
        </is>
      </c>
    </row>
    <row r="21">
      <c r="A21" s="32" t="inlineStr">
        <is>
          <t>Executive Dashboard</t>
        </is>
      </c>
      <c r="B21" s="32" t="inlineStr">
        <is>
          <t>Pq01</t>
        </is>
      </c>
      <c r="C21" s="32" t="inlineStr"/>
      <c r="D21" s="42" t="inlineStr"/>
      <c r="E21" s="32" t="inlineStr"/>
      <c r="F21" s="42" t="inlineStr">
        <is>
          <t>JsonProperty: | title | "Total Revenue by Product Group = $18,226,161" | JsonProperty | description | JsonProperty | sheetId | "FaQeFa" | JsonProperty | creationDate | "2014-02-13" | JsonObject | qMeta | JsonObject | qSelectionInfo | HyperCube | qHyperCube | JsonProperty$ | title | "Product Sub Group Desc" | JsonProperty | autoSort | true | JsonProperty | cId | "HBLVQ" | JsonProperty | othersLabel | "Others" | Product Sub Group Desc | Product Sub Group Desc | $ascii | $text | JsonProperty | autoSort | true | JsonProperty | cId | "GCkjvhs" | Revenue</t>
        </is>
      </c>
    </row>
    <row r="22">
      <c r="A22" s="37" t="inlineStr">
        <is>
          <t>Executive Dashboard</t>
        </is>
      </c>
      <c r="B22" s="37" t="inlineStr">
        <is>
          <t>gwVVmG</t>
        </is>
      </c>
      <c r="C22" s="37" t="inlineStr"/>
      <c r="D22" s="43" t="inlineStr"/>
      <c r="E22" s="37" t="inlineStr"/>
      <c r="F22" s="43" t="inlineStr">
        <is>
          <t>JsonProperty# | title | "Average Sales Per Day" | JsonProperty | description | JsonProperty | sheetId | "FaQeFa" | JsonProperty | creationDate | "2014-02-13" | JsonObject | qMeta | JsonObject | qSelectionInfo | HyperCube | qHyperCube | JsonProperty | title | "Year Month" | JsonProperty | autoSort | true | JsonProperty | cId | "EtdNTQp" | JsonProperty | othersLabel | "Others"
Year Month | Year Month | $key | $numeric | $integer
$timestamp | $date | JsonProperty | autoSort | true | JsonProperty | cId | "SwcJjj"</t>
        </is>
      </c>
    </row>
    <row r="23">
      <c r="A23" s="32" t="inlineStr">
        <is>
          <t>Executive Dashboard</t>
        </is>
      </c>
      <c r="B23" s="32" t="inlineStr">
        <is>
          <t>ncee</t>
        </is>
      </c>
      <c r="C23" s="32" t="inlineStr"/>
      <c r="D23" s="42" t="inlineStr"/>
      <c r="E23" s="32" t="inlineStr"/>
      <c r="F23" s="42" t="inlineStr">
        <is>
          <t>JsonProperty9 | title | "Total Revenue by Product Group = $8,178,111" | JsonProperty | description | JsonProperty | sheetId | "FaQeFa" | JsonProperty | creationDate | "2014-02-13" | JsonObject | qMeta | JsonObject | qSelectionInfo | HyperCube | qHyperCube | JsonProperty$ | title | "Product Sub Group Desc" | JsonProperty | autoSort | true | JsonProperty | cId | "HBLVQ" | JsonProperty | othersLabel | "Others" | Product Sub Group Desc | Product Sub Group Desc | $ascii | $text | JsonProperty | autoSort | true | JsonProperty | cId | "GCkjvhs" | Revenue</t>
        </is>
      </c>
    </row>
    <row r="24">
      <c r="A24" s="37" t="inlineStr">
        <is>
          <t>Executive Dashboard</t>
        </is>
      </c>
      <c r="B24" s="37" t="inlineStr">
        <is>
          <t>xgaCSv</t>
        </is>
      </c>
      <c r="C24" s="37" t="inlineStr"/>
      <c r="D24" s="43" t="inlineStr"/>
      <c r="E24" s="37" t="inlineStr"/>
      <c r="F24" s="43"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25">
      <c r="A25" s="32" t="inlineStr">
        <is>
          <t>Executive Dashboard</t>
        </is>
      </c>
      <c r="B25" s="32" t="inlineStr">
        <is>
          <t>vkgvG</t>
        </is>
      </c>
      <c r="C25" s="32" t="inlineStr"/>
      <c r="D25" s="42" t="inlineStr"/>
      <c r="E25" s="32" t="inlineStr"/>
      <c r="F25" s="42" t="inlineStr">
        <is>
          <t>JsonProperty# | title | "Average Sales Per Day" | JsonProperty | description | JsonProperty | sheetId | "FaQeFa" | JsonProperty | creationDate | "2014-02-13" | JsonObject | qMeta | JsonObject | qSelectionInfo | HyperCube | qHyperCube | JsonProperty | title | "Year Month" | JsonProperty | autoSort | true | JsonProperty | cId | "EtdNTQp" | JsonProperty | othersLabel | "Others"
Year Month | Year Month | $key | $numeric | $integer
$timestamp | $date | JsonProperty | autoSort | true | JsonProperty | cId | "SwcJjj"</t>
        </is>
      </c>
    </row>
    <row r="26">
      <c r="A26" s="37" t="inlineStr">
        <is>
          <t>Executive Dashboard</t>
        </is>
      </c>
      <c r="B26" s="37" t="inlineStr">
        <is>
          <t>Ta02</t>
        </is>
      </c>
      <c r="C26" s="37" t="inlineStr"/>
      <c r="D26" s="43" t="inlineStr"/>
      <c r="E26" s="37" t="inlineStr"/>
      <c r="F26" s="43" t="inlineStr">
        <is>
          <t>JsonProperty: | title | "Total Revenue by Product Group = $23,251,083" | JsonProperty | description | JsonProperty | sheetId | "FaQeFa" | JsonProperty | creationDate | "2014-02-13" | JsonObject | qMeta | JsonObject | qSelectionInfo | HyperCube | qHyperCube | JsonProperty$ | title | "Product Sub Group Desc" | JsonProperty | autoSort | true | JsonProperty | cId | "HBLVQ" | JsonProperty | othersLabel | "Others" | Product Sub Group Desc | Product Sub Group Desc | $ascii | $text | JsonProperty | autoSort | true | JsonProperty | cId | "GCkjvhs" | Revenue</t>
        </is>
      </c>
    </row>
    <row r="27">
      <c r="A27" s="32" t="inlineStr">
        <is>
          <t>Executive Dashboard</t>
        </is>
      </c>
      <c r="B27" s="32" t="inlineStr">
        <is>
          <t>gG02</t>
        </is>
      </c>
      <c r="C27" s="32" t="inlineStr"/>
      <c r="D27" s="42" t="inlineStr"/>
      <c r="E27" s="32" t="inlineStr"/>
      <c r="F27" s="42"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28">
      <c r="A28" s="37" t="inlineStr">
        <is>
          <t>Executive Dashboard</t>
        </is>
      </c>
      <c r="B28" s="37" t="inlineStr">
        <is>
          <t>MLpRbv</t>
        </is>
      </c>
      <c r="C28" s="37" t="inlineStr"/>
      <c r="D28" s="43" t="inlineStr"/>
      <c r="E28" s="37" t="inlineStr"/>
      <c r="F28" s="43"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29">
      <c r="A29" s="32" t="inlineStr">
        <is>
          <t>Executive Dashboard</t>
        </is>
      </c>
      <c r="B29" s="32" t="inlineStr">
        <is>
          <t>jP01</t>
        </is>
      </c>
      <c r="C29" s="32" t="inlineStr"/>
      <c r="D29" s="42" t="inlineStr"/>
      <c r="E29" s="32" t="inlineStr"/>
      <c r="F29" s="42" t="inlineStr">
        <is>
          <t>JsonProperty# | title | "Amount Overdue vs DOS" | JsonProperty | description | JsonProperty | sheetId | "JsCeVm" | JsonProperty | creationDate | "2014-02-13" | JsonObject | qMeta | JsonObject | qSelectionInfo | HyperCube | qHyperCube | JsonProperty | title | "Customer" | JsonProperty | autoSort | true | JsonProperty | cId | "PQLbzwV" | JsonProperty | othersLabel | "Others" | Customer" | Customer | $text | JsonProperty | autoSort | true | JsonProperty | cId | "BaYBW" | Days Sales Outstanding | @g]</t>
        </is>
      </c>
    </row>
    <row r="30">
      <c r="A30" s="37" t="inlineStr">
        <is>
          <t>Executive Dashboard</t>
        </is>
      </c>
      <c r="B30" s="37" t="inlineStr">
        <is>
          <t>rsXje</t>
        </is>
      </c>
      <c r="C30" s="37" t="inlineStr"/>
      <c r="D30" s="43" t="inlineStr"/>
      <c r="E30" s="37" t="inlineStr"/>
      <c r="F30" s="43" t="inlineStr">
        <is>
          <t>JsonProperty: | title | "Total Revenue by Product Group = $11,004,285" | JsonProperty | description | JsonProperty | sheetId | "FaQeFa" | JsonProperty | creationDate | "2014-02-13" | JsonObject | qMeta | JsonObject | qSelectionInfo | HyperCube | qHyperCube | JsonProperty$ | title | "Product Sub Group Desc" | JsonProperty | autoSort | true | JsonProperty | cId | "HBLVQ" | JsonProperty | othersLabel | "Others" | Product Sub Group Desc | Product Sub Group Desc | $ascii | $text | JsonProperty | autoSort | true | JsonProperty | cId | "GCkjvhs" | Revenue</t>
        </is>
      </c>
    </row>
    <row r="31">
      <c r="A31" s="32" t="inlineStr">
        <is>
          <t>Executive Dashboard</t>
        </is>
      </c>
      <c r="B31" s="32" t="inlineStr">
        <is>
          <t>gGWThQs</t>
        </is>
      </c>
      <c r="C31" s="32" t="inlineStr"/>
      <c r="D31" s="42" t="inlineStr"/>
      <c r="E31" s="32" t="inlineStr"/>
      <c r="F31" s="42" t="inlineStr">
        <is>
          <t>JsonProperty* | title | "Sales vs Margin by Sales Rep" | JsonProperty | description | JsonProperty | sheetId | "FaQeFa" | JsonProperty | creationDate | "2014-02-13" | JsonObject | qMeta | JsonObject | qSelectionInfo | HyperCube | qHyperCube | JsonProperty | title | "Sales Rep Name" | JsonProperty | autoSort | true | JsonProperty | cId | "qvHTMd" | JsonProperty | othersLabel | "Others" | Sales Rep Name | Sales Rep Name | $ascii | $text | JsonProperty | autoSort | true | JsonProperty | cId | "RPfsxLb" | Margin %</t>
        </is>
      </c>
    </row>
    <row r="32">
      <c r="A32" s="37" t="inlineStr">
        <is>
          <t>Executive Dashboard</t>
        </is>
      </c>
      <c r="B32" s="37" t="inlineStr">
        <is>
          <t>jPTmcR</t>
        </is>
      </c>
      <c r="C32" s="37" t="inlineStr"/>
      <c r="D32" s="43" t="inlineStr"/>
      <c r="E32" s="37" t="inlineStr"/>
      <c r="F32" s="43" t="inlineStr">
        <is>
          <t>JsonProperty# | title | "Amount Overdue vs DOS" | JsonProperty | description | JsonProperty | sheetId | "JsCeVm" | JsonProperty | creationDate | "2014-02-13" | JsonObject | qMeta | JsonObject | qSelectionInfo | HyperCube | qHyperCube | JsonProperty | title | "Customer" | JsonProperty | autoSort | true | JsonProperty | cId | "PQLbzwV" | JsonProperty | othersLabel | "Others" | Customer" | Customer | $text | JsonProperty | autoSort | true | JsonProperty | cId | "BaYBW" | Days Sales Outstanding | @g]</t>
        </is>
      </c>
    </row>
    <row r="33">
      <c r="A33" s="32" t="inlineStr">
        <is>
          <t>First Qlikview Report</t>
        </is>
      </c>
      <c r="B33" s="32" t="inlineStr">
        <is>
          <t>Document\BM01</t>
        </is>
      </c>
      <c r="C33" s="32" t="inlineStr"/>
      <c r="D33" s="42" t="inlineStr"/>
      <c r="E33" s="32" t="inlineStr">
        <is>
          <t>2026-09-24T14:02:04.643Z</t>
        </is>
      </c>
      <c r="F33" s="42" t="inlineStr">
        <is>
          <t>Document\BM01 | $LASTKNOWNSTATE@ | Document\SH01</t>
        </is>
      </c>
    </row>
    <row r="34">
      <c r="A34" s="37" t="inlineStr">
        <is>
          <t>First Qlikview Report</t>
        </is>
      </c>
      <c r="B34" s="37" t="inlineStr">
        <is>
          <t>Document\BM02</t>
        </is>
      </c>
      <c r="C34" s="37" t="inlineStr"/>
      <c r="D34" s="43" t="inlineStr"/>
      <c r="E34" s="37" t="inlineStr">
        <is>
          <t>2026-09-24T14:02:04.643Z</t>
        </is>
      </c>
      <c r="F34" s="43" t="inlineStr">
        <is>
          <t>Document\BM02 | $LASTKNOWNSTATE@ | Region_Key | R04 | Document\SH01 | Document\CS01 | Document\SO01 | Document\LB01 | Document\CH01 | Document\CS01 | Document\SO01 | Document\LB01 | Document\CH01 | Order_ID | Order_ID | Sum(Quantity) | Order_ID</t>
        </is>
      </c>
    </row>
    <row r="35">
      <c r="A35" s="32" t="inlineStr">
        <is>
          <t>Helpdesk Management</t>
        </is>
      </c>
      <c r="B35" s="32" t="inlineStr">
        <is>
          <t>TnmRpt</t>
        </is>
      </c>
      <c r="C35" s="32" t="inlineStr"/>
      <c r="D35" s="42" t="inlineStr"/>
      <c r="E35" s="32" t="inlineStr"/>
      <c r="F35" s="42" t="inlineStr">
        <is>
          <t>JsonProperty&amp; | title | "Open Cases Request Types" | JsonProperty | description | JsonProperty | sheetId | "hPVwh" | JsonProperty | creationDate | "2014-02-19" | JsonObject | qMeta | JsonObject | qSelectionInfo | HyperCube | qHyperCube | JsonProperty | autoSort | true | JsonProperty | cId | "gfexXV" | JsonProperty | othersLabel | "Others" | Case Record Type | Case Record Type | $ascii | $text | JsonProperty | autoSort | true | JsonProperty | cId | "SsFUES"
Open Cases | 255@o | 255@o | General IT Support~7 | 193@h</t>
        </is>
      </c>
    </row>
    <row r="36">
      <c r="A36" s="37" t="inlineStr">
        <is>
          <t>Helpdesk Management</t>
        </is>
      </c>
      <c r="B36" s="37" t="inlineStr">
        <is>
          <t>a8e13766-33a3-404e-869e-e220aec58991</t>
        </is>
      </c>
      <c r="C36" s="37" t="inlineStr"/>
      <c r="D36" s="43" t="inlineStr"/>
      <c r="E36" s="37" t="inlineStr"/>
      <c r="F36" s="43" t="inlineStr">
        <is>
          <t>JsonProperty&amp; | title | "Open Cases Request Types" | JsonProperty | description | JsonProperty | sheetId | "hPVwh" | JsonProperty | creationDate | "2014-08-22" | JsonObject | qSelectionInfo | HyperCube | qHyperCube | JsonProperty | autoSort | true | JsonProperty | cId | "gfexXV" | JsonProperty | othersLabel | "Others" | Case Record Type | Case Record Type | $ascii | $text | Case Record Type | JsonProperty | autoSort | true | JsonProperty | cId | "SsFUES"
Open Cases | ###0 | 214@j | General IT Support~7 | 120@^ | Hardware Request~7</t>
        </is>
      </c>
    </row>
    <row r="37">
      <c r="A37" s="32" t="inlineStr">
        <is>
          <t>Helpdesk Management</t>
        </is>
      </c>
      <c r="B37" s="32" t="inlineStr">
        <is>
          <t>VjQtmv</t>
        </is>
      </c>
      <c r="C37" s="32" t="inlineStr"/>
      <c r="D37" s="42" t="inlineStr"/>
      <c r="E37" s="32" t="inlineStr"/>
      <c r="F37" s="42" t="inlineStr">
        <is>
          <t>JsonProperty. | title | "Case Distribution by IT Resource" | JsonProperty | description | JsonProperty | sheetId | "kHgmg" | JsonProperty | creationDate | "2014-08-22" | JsonObject | qSelectionInfo | HyperCube | qHyperCube | JsonProperty | autoSort | true | JsonProperty | cId | "gHJPJm" | JsonProperty | othersLabel | "Others" | Case Owner Group | Case Owner Group | $ascii | $text | Case Owner Group | JsonProperty | autoSort | true | JsonProperty | cId | "UJXjLJ" | JsonProperty | othersLabel | "Others"
Case Owner | Case Owner | $ascii</t>
        </is>
      </c>
    </row>
    <row r="38">
      <c r="A38" s="37" t="inlineStr">
        <is>
          <t>Helpdesk Management</t>
        </is>
      </c>
      <c r="B38" s="37" t="inlineStr">
        <is>
          <t>fmPtU</t>
        </is>
      </c>
      <c r="C38" s="37" t="inlineStr"/>
      <c r="D38" s="43" t="inlineStr"/>
      <c r="E38" s="37" t="inlineStr"/>
      <c r="F38" s="43" t="inlineStr">
        <is>
          <t>JsonProperty | title | "Resource Details" | JsonProperty | description | JsonProperty | sheetId | "kHgmg" | JsonProperty | creationDate | "2014-08-27"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39">
      <c r="A39" s="32" t="inlineStr">
        <is>
          <t>Helpdesk Management</t>
        </is>
      </c>
      <c r="B39" s="32" t="inlineStr">
        <is>
          <t>gsUbn</t>
        </is>
      </c>
      <c r="C39" s="32" t="inlineStr"/>
      <c r="D39" s="42" t="inlineStr"/>
      <c r="E39" s="32" t="inlineStr"/>
      <c r="F39" s="42" t="inlineStr">
        <is>
          <t>JsonProperty | title | "Cases by Priority" | JsonProperty | description | JsonProperty | sheetId | "hPVwh" | JsonProperty | creationDate | "2014-02-19" | JsonObject | qMeta | JsonObject | qSelectionInfo | HyperCube | qHyperCube | JsonProperty | autoSort | false | JsonProperty | cId | "hScCFZ" | JsonProperty | othersLabel | "Others" | Priority | Priority | $ascii | $text | JsonProperty | autoSort | true | JsonProperty | cId | "PdXjFW"
Open Cases | 193@h | 193@h | High~7 | 26@:</t>
        </is>
      </c>
    </row>
    <row r="40">
      <c r="A40" s="37" t="inlineStr">
        <is>
          <t>Helpdesk Management</t>
        </is>
      </c>
      <c r="B40" s="37" t="inlineStr">
        <is>
          <t>Ew01</t>
        </is>
      </c>
      <c r="C40" s="37" t="inlineStr"/>
      <c r="D40" s="43" t="inlineStr"/>
      <c r="E40" s="37" t="inlineStr"/>
      <c r="F40" s="43" t="inlineStr">
        <is>
          <t>JsonProperty" | title | "Case Details: 5Cases" | JsonProperty | description | JsonProperty | sheetId | "VkcYvCR" | JsonProperty | creationDate | "2014-02-19" | JsonObject | qMeta | JsonObject | qSelectionInfo | HyperCube | qHyperCube | JsonProperty | autoSort | true | JsonProperty | cId | "WCDwys" | JsonProperty | othersLabel | "Others"
CaseNumber | CaseNumber | $ascii | $text | JsonProperty | autoSort | true | JsonProperty | cId | "fnWKM" | JsonProperty | othersLabel | "Others" | Subject | Subject</t>
        </is>
      </c>
    </row>
    <row r="41">
      <c r="A41" s="32" t="inlineStr">
        <is>
          <t>Helpdesk Management</t>
        </is>
      </c>
      <c r="B41" s="32" t="inlineStr">
        <is>
          <t>SENvLWT</t>
        </is>
      </c>
      <c r="C41" s="32" t="inlineStr"/>
      <c r="D41" s="42" t="inlineStr"/>
      <c r="E41" s="32" t="inlineStr"/>
      <c r="F41" s="42" t="inlineStr">
        <is>
          <t>JsonProperty | title | "Cases by Priority" | JsonProperty | description | JsonProperty | sheetId | "hPVwh" | JsonProperty | creationDate | "2014-08-22" | JsonObject | qSelectionInfo | HyperCube | qHyperCube | JsonProperty | autoSort | false | JsonProperty | cId | "hScCFZ" | JsonProperty | othersLabel | "Others" | Priority | Priority | $ascii | $text | Priority | JsonProperty | autoSort | true | JsonProperty | cId | "PdXjFW"
Open Cases | ###0 | 214@j | High~7 | 72@R | Medium~7</t>
        </is>
      </c>
    </row>
    <row r="42">
      <c r="A42" s="37" t="inlineStr">
        <is>
          <t>Helpdesk Management</t>
        </is>
      </c>
      <c r="B42" s="37" t="inlineStr">
        <is>
          <t>FrnmUQs</t>
        </is>
      </c>
      <c r="C42" s="37" t="inlineStr"/>
      <c r="D42" s="43" t="inlineStr"/>
      <c r="E42" s="37" t="inlineStr"/>
      <c r="F42" s="43" t="inlineStr">
        <is>
          <t>JsonProperty | title | "Open Cases by Age" | JsonProperty | description | JsonProperty | sheetId | "pKnjHKZ" | JsonProperty | creationDate | "2014-02-19" | JsonObject | qMeta | JsonObject | qSelectionInfo | HyperCube | qHyperCube | JsonProperty | autoSort | false | JsonProperty | cId | "VxpnqUy" | JsonProperty | othersLabel | "Others" | Case Timetable | Case Timetable | $ascii | $text | JsonProperty | autoSort | true | JsonProperty | cId | "JzRvRJJ"
Open Cases | 75@R | 75@R | Yesterday~7 | 2-7 days~7</t>
        </is>
      </c>
    </row>
    <row r="43">
      <c r="A43" s="32" t="inlineStr">
        <is>
          <t>Helpdesk Management</t>
        </is>
      </c>
      <c r="B43" s="32" t="inlineStr">
        <is>
          <t>unGmT</t>
        </is>
      </c>
      <c r="C43" s="32" t="inlineStr"/>
      <c r="D43" s="42" t="inlineStr"/>
      <c r="E43" s="32" t="inlineStr"/>
      <c r="F43" s="42" t="inlineStr">
        <is>
          <t>JsonProperty | title | "Open Cases by Age" | JsonProperty | description | JsonProperty | sheetId | "pKnjHKZ" | JsonProperty | creationDate | "2014-02-19" | JsonObject | qMeta | JsonObject | qSelectionInfo | HyperCube | qHyperCube | JsonProperty | autoSort | false | JsonProperty | cId | "VxpnqUy" | JsonProperty | othersLabel | "Others" | Case Timetable | Case Timetable | $ascii | $text | JsonProperty | autoSort | true | JsonProperty | cId | "JzRvRJJ"
Open Cases | 417@z | 417@z | Yesterday~7 | 30@&gt;</t>
        </is>
      </c>
    </row>
    <row r="44">
      <c r="A44" s="37" t="inlineStr">
        <is>
          <t>Helpdesk Management</t>
        </is>
      </c>
      <c r="B44" s="37" t="inlineStr">
        <is>
          <t>chgQYX</t>
        </is>
      </c>
      <c r="C44" s="37" t="inlineStr"/>
      <c r="D44" s="43" t="inlineStr"/>
      <c r="E44" s="37" t="inlineStr"/>
      <c r="F44" s="43" t="inlineStr">
        <is>
          <t>JsonProperty | title | "Resource Details" | JsonProperty | description | JsonProperty | sheetId | "kHgmg" | JsonProperty | creationDate | "2014-08-22"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45">
      <c r="A45" s="32" t="inlineStr">
        <is>
          <t>Helpdesk Management</t>
        </is>
      </c>
      <c r="B45" s="32" t="inlineStr">
        <is>
          <t>4df984f9-1150-4383-9347-ce1993287a34</t>
        </is>
      </c>
      <c r="C45" s="32" t="inlineStr"/>
      <c r="D45" s="42" t="inlineStr"/>
      <c r="E45" s="32" t="inlineStr"/>
      <c r="F45" s="42" t="inlineStr">
        <is>
          <t>JsonProperty | title | "Open Cases by Age" | JsonProperty | description | JsonProperty | sheetId | "pKnjHKZ" | JsonProperty | creationDate | "2014-08-22" | JsonObject | qSelectionInfo | HyperCube | qHyperCube | JsonProperty | autoSort | false | JsonProperty | cId | "VxpnqUy" | JsonProperty | othersLabel | "Others" | Case Timetable | Case Timetable | $ascii | $text | Case Timetable | JsonProperty | autoSort | true | JsonProperty | cId | "JzRvRJJ"
Open Cases | ###0 | 75@R | Yesterday~7 | 2-7 days~7 | 20@4</t>
        </is>
      </c>
    </row>
    <row r="46">
      <c r="A46" s="37" t="inlineStr">
        <is>
          <t>Helpdesk Management</t>
        </is>
      </c>
      <c r="B46" s="37" t="inlineStr">
        <is>
          <t>63cd685c-aa73-4821-a0a0-271b2b4494c7</t>
        </is>
      </c>
      <c r="C46" s="37" t="inlineStr"/>
      <c r="D46" s="43" t="inlineStr"/>
      <c r="E46" s="37" t="inlineStr"/>
      <c r="F46" s="43" t="inlineStr">
        <is>
          <t>JsonProperty | title | "Open Cases by Age" | JsonProperty | description | JsonProperty | sheetId | "kHgmg" | JsonProperty | creationDate | "2014-08-27" | JsonObject | qSelectionInfo | HyperCube | qHyperCube | JsonProperty | autoSort | true | JsonProperty | cId | "ZPMVHbm" | JsonProperty | othersLabel | "Others" | Case Timetable | Case Timetable | $ascii | $text | Case Timetable | JsonProperty | autoSort | true | JsonProperty | cId | "SdSNjp"
Open Cases | ###0 | JsonProperty | type | "colorByExpression" | 61@N</t>
        </is>
      </c>
    </row>
    <row r="47">
      <c r="A47" s="32" t="inlineStr">
        <is>
          <t>Helpdesk Management</t>
        </is>
      </c>
      <c r="B47" s="32" t="inlineStr">
        <is>
          <t>Fr01</t>
        </is>
      </c>
      <c r="C47" s="32" t="inlineStr"/>
      <c r="D47" s="42" t="inlineStr"/>
      <c r="E47" s="32" t="inlineStr"/>
      <c r="F47" s="42" t="inlineStr">
        <is>
          <t>JsonProperty | title | "Open Cases by Age" | JsonProperty | description | JsonProperty | sheetId | "pKnjHKZ" | JsonProperty | creationDate | "2014-02-19" | JsonObject | qMeta | JsonObject | qSelectionInfo | HyperCube | qHyperCube | JsonProperty | autoSort | false | JsonProperty | cId | "VxpnqUy" | JsonProperty | othersLabel | "Others" | Case Timetable | Case Timetable | $ascii | $text | JsonProperty | autoSort | true | JsonProperty | cId | "JzRvRJJ"
Open Cases | 75@R | 75@R | Yesterday~7 | 2-7 days~7</t>
        </is>
      </c>
    </row>
    <row r="48">
      <c r="A48" s="37" t="inlineStr">
        <is>
          <t>Helpdesk Management</t>
        </is>
      </c>
      <c r="B48" s="37" t="inlineStr">
        <is>
          <t>qJFk</t>
        </is>
      </c>
      <c r="C48" s="37" t="inlineStr"/>
      <c r="D48" s="43" t="inlineStr"/>
      <c r="E48" s="37" t="inlineStr"/>
      <c r="F48" s="43" t="inlineStr">
        <is>
          <t>JsonProperty | title | "Resource Details" | JsonProperty | description | JsonProperty | sheetId | "kHgmg" | JsonProperty | creationDate | "2014-08-22"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49">
      <c r="A49" s="32" t="inlineStr">
        <is>
          <t>Helpdesk Management</t>
        </is>
      </c>
      <c r="B49" s="32" t="inlineStr">
        <is>
          <t>jd01</t>
        </is>
      </c>
      <c r="C49" s="32" t="inlineStr"/>
      <c r="D49" s="42" t="inlineStr"/>
      <c r="E49" s="32" t="inlineStr"/>
      <c r="F49" s="42" t="inlineStr">
        <is>
          <t>JsonProperty | title | "Resource Details" | JsonProperty | description | JsonProperty | sheetId | "kHgmg" | JsonProperty | creationDate | "2014-02-19" | JsonObject | qMeta | JsonObject | qSelectionInfo | HyperCube | qHyperCube | JsonProperty | autoSort | false | JsonProperty | cId | "CMRptr" | JsonProperty | othersLabel | "Others"
Case Owner | Case Owner | $ascii | $text | JsonProperty | autoSort | true | JsonProperty | cId | "PkZUhCw" | JsonProperty | othersLabel | "Others" | Status | Status</t>
        </is>
      </c>
    </row>
    <row r="50">
      <c r="A50" s="37" t="inlineStr">
        <is>
          <t>Helpdesk Management</t>
        </is>
      </c>
      <c r="B50" s="37" t="inlineStr">
        <is>
          <t>dLHgkN</t>
        </is>
      </c>
      <c r="C50" s="37" t="inlineStr"/>
      <c r="D50" s="43" t="inlineStr"/>
      <c r="E50" s="37" t="inlineStr"/>
      <c r="F50" s="43" t="inlineStr">
        <is>
          <t>JsonProperty | title | "Open Cases by Age" | JsonProperty | description | JsonProperty | sheetId | "pKnjHKZ" | JsonProperty | creationDate | "2014-02-19" | JsonObject | qMeta | JsonObject | qSelectionInfo | HyperCube | qHyperCube | JsonProperty | autoSort | true | JsonProperty | cId | "ZPMVHbm" | JsonProperty | othersLabel | "Others" | Case Timetable | Case Timetable | $ascii | $text | JsonProperty | autoSort | true | JsonProperty | cId | "SdSNjp"
Open Cases | 417@z | 417@z | 2-7 days~7 | 112@\</t>
        </is>
      </c>
    </row>
    <row r="51">
      <c r="A51" s="32" t="inlineStr">
        <is>
          <t>Helpdesk Management</t>
        </is>
      </c>
      <c r="B51" s="32" t="inlineStr">
        <is>
          <t>eXTkLj</t>
        </is>
      </c>
      <c r="C51" s="32" t="inlineStr"/>
      <c r="D51" s="42" t="inlineStr"/>
      <c r="E51" s="32" t="inlineStr"/>
      <c r="F51" s="42" t="inlineStr">
        <is>
          <t>JsonProperty# | title | "Case Details: 15Cases" | JsonProperty | description | JsonProperty | sheetId | "VkcYvCR" | JsonProperty | creationDate | "2014-08-27" | JsonObject | qSelectionInfo | HyperCube | qHyperCube | JsonArray | columnOrder | JsonProperty | JsonProperty | JsonProperty | JsonProperty | JsonProperty | JsonProperty | JsonProperty | JsonProperty | autoSort | true | JsonProperty | cId | "WCDwys" | JsonProperty | othersLabel | "Others"
CaseNumber | CaseNumber | $ascii | $text | CaseNumber | JsonProperty | autoSort | true</t>
        </is>
      </c>
    </row>
    <row r="52">
      <c r="A52" s="37" t="inlineStr">
        <is>
          <t>Helpdesk Management</t>
        </is>
      </c>
      <c r="B52" s="37" t="inlineStr">
        <is>
          <t>29ec2534-99f6-4b49-97bd-5ce5acffb3a5</t>
        </is>
      </c>
      <c r="C52" s="37" t="inlineStr"/>
      <c r="D52" s="43" t="inlineStr"/>
      <c r="E52" s="37" t="inlineStr"/>
      <c r="F52" s="43" t="inlineStr">
        <is>
          <t>JsonProperty | title | "Cases by Priority" | JsonProperty | description | JsonProperty | sheetId | "hPVwh" | JsonProperty | creationDate | "2014-08-22" | JsonObject | qSelectionInfo | HyperCube | qHyperCube | JsonProperty | autoSort | false | JsonProperty | cId | "hScCFZ" | JsonProperty | othersLabel | "Others" | Priority | Priority | $ascii | $text | Priority | JsonProperty | autoSort | true | JsonProperty | cId | "PdXjFW"
Open Cases | ###0 | 214@j | High~7 | 72@R | Medium~7</t>
        </is>
      </c>
    </row>
    <row r="53">
      <c r="A53" s="32" t="inlineStr">
        <is>
          <t>Helpdesk Management</t>
        </is>
      </c>
      <c r="B53" s="32" t="inlineStr">
        <is>
          <t>0747e564-4721-4906-8ef5-c5e214db6994</t>
        </is>
      </c>
      <c r="C53" s="32" t="inlineStr"/>
      <c r="D53" s="42" t="inlineStr"/>
      <c r="E53" s="32" t="inlineStr"/>
      <c r="F53" s="42" t="inlineStr">
        <is>
          <t>JsonProperty | title | "Resource Details" | JsonProperty | description | JsonProperty | sheetId | "kHgmg" | JsonProperty | creationDate | "2014-02-19" | JsonObject | qMeta | JsonObject | qSelectionInfo | HyperCube | qHyperCube | JsonProperty | autoSort | false | JsonProperty | cId | "CMRptr" | JsonProperty | othersLabel | "Others"
Case Owner | Case Owner | $ascii | $text | JsonProperty | autoSort | true | JsonProperty | cId | "PkZUhCw" | JsonProperty | othersLabel | "Others" | Status | Status</t>
        </is>
      </c>
    </row>
    <row r="54">
      <c r="A54" s="37" t="inlineStr">
        <is>
          <t>Helpdesk Management</t>
        </is>
      </c>
      <c r="B54" s="37" t="inlineStr">
        <is>
          <t>b5d09a52-69a7-4ab5-8737-aface7bf4b8b</t>
        </is>
      </c>
      <c r="C54" s="37" t="inlineStr"/>
      <c r="D54" s="43" t="inlineStr"/>
      <c r="E54" s="37" t="inlineStr"/>
      <c r="F54" s="43" t="inlineStr">
        <is>
          <t>JsonProperty&amp; | title | "Open Cases Request Types" | JsonProperty | description | JsonProperty | sheetId | "hPVwh" | JsonProperty | creationDate | "2014-08-22" | JsonObject | qSelectionInfo | HyperCube | qHyperCube | JsonProperty | autoSort | true | JsonProperty | cId | "gfexXV" | JsonProperty | othersLabel | "Others" | Case Record Type | Case Record Type | $ascii | $text | Case Record Type | JsonProperty | autoSort | true | JsonProperty | cId | "SsFUES"
Open Cases | ###0 | 129@` | General IT Support~7 | 75@R | Hardware Request~7</t>
        </is>
      </c>
    </row>
    <row r="55">
      <c r="A55" s="32" t="inlineStr">
        <is>
          <t>Helpdesk Management</t>
        </is>
      </c>
      <c r="B55" s="32" t="inlineStr">
        <is>
          <t>83f4921b-9e69-4c7c-ab2c-242d192dc9c3</t>
        </is>
      </c>
      <c r="C55" s="32" t="inlineStr"/>
      <c r="D55" s="42" t="inlineStr"/>
      <c r="E55" s="32" t="inlineStr"/>
      <c r="F55" s="42" t="inlineStr">
        <is>
          <t>JsonProperty | title | JsonProperty | description | JsonProperty4 | sheetId | "1ff88551-9c4d-41e0-b790-37f4c11d3df8" | JsonProperty | creationDate | "2014-08-27" | JsonObject | qSelectionInfo | HyperCube | qHyperCube | JsonProperty | autoSort | true | JsonProperty | cId | "WBkSj" | Open Cases - High | ###0 | 72@R | JsonProperty | showTitles | false | JsonProperty | subtitle | JsonProperty | footnote | JsonObject | background | JsonObject; | url | StaticContentUrlDef | qStaticContentUrlDef | JsonProperty | size | "auto" | JsonProperty</t>
        </is>
      </c>
    </row>
    <row r="56">
      <c r="A56" s="37" t="inlineStr">
        <is>
          <t>Helpdesk Management</t>
        </is>
      </c>
      <c r="B56" s="37" t="inlineStr">
        <is>
          <t>Tn01</t>
        </is>
      </c>
      <c r="C56" s="37" t="inlineStr"/>
      <c r="D56" s="43" t="inlineStr"/>
      <c r="E56" s="37" t="inlineStr"/>
      <c r="F56" s="43" t="inlineStr">
        <is>
          <t>JsonProperty&amp; | title | "Open Cases Request Types" | JsonProperty | description | JsonProperty | sheetId | "hPVwh" | JsonProperty | creationDate | "2014-02-19" | JsonObject | qMeta | JsonObject | qSelectionInfo | HyperCube | qHyperCube | JsonProperty | autoSort | true | JsonProperty | cId | "gfexXV" | JsonProperty | othersLabel | "Others" | Case Record Type | Case Record Type | $ascii | $text | JsonProperty | autoSort | true | JsonProperty | cId | "SsFUES"
Open Cases | 255@o | 255@o | General IT Support~7 | 193@h</t>
        </is>
      </c>
    </row>
    <row r="57">
      <c r="A57" s="32" t="inlineStr">
        <is>
          <t>Helpdesk Management</t>
        </is>
      </c>
      <c r="B57" s="32" t="inlineStr">
        <is>
          <t>yMSuF</t>
        </is>
      </c>
      <c r="C57" s="32" t="inlineStr"/>
      <c r="D57" s="42" t="inlineStr"/>
      <c r="E57" s="32" t="inlineStr"/>
      <c r="F57" s="42" t="inlineStr">
        <is>
          <t>JsonProperty | title | "Open Cases by Age" | JsonProperty | description | JsonProperty | sheetId | "pKnjHKZ" | JsonProperty | creationDate | "2014-02-19" | JsonObject | qMeta | JsonObject | qSelectionInfo | HyperCube | qHyperCube | JsonProperty | autoSort | true | JsonProperty | cId | "ZPMVHbm" | JsonProperty | othersLabel | "Others" | Case Timetable | Case Timetable | $ascii | $text | JsonProperty | autoSort | true | JsonProperty | cId | "SdSNjp"
Open Cases | 75@R | 75@R | 2-7 days~7 | 20@4</t>
        </is>
      </c>
    </row>
    <row r="58">
      <c r="A58" s="37" t="inlineStr">
        <is>
          <t>Helpdesk Management</t>
        </is>
      </c>
      <c r="B58" s="37" t="inlineStr">
        <is>
          <t>Etuu</t>
        </is>
      </c>
      <c r="C58" s="37" t="inlineStr"/>
      <c r="D58" s="43" t="inlineStr"/>
      <c r="E58" s="37" t="inlineStr"/>
      <c r="F58" s="43" t="inlineStr">
        <is>
          <t>JsonProperty&amp; | title | "Open Cases Request Types" | JsonProperty | description | JsonProperty | sheetId | "hPVwh" | JsonProperty | creationDate | "2014-08-22" | JsonObject | qSelectionInfo | HyperCube | qHyperCube | JsonProperty | autoSort | true | JsonProperty | cId | "gfexXV" | JsonProperty | othersLabel | "Others" | Case Record Type | Case Record Type | $ascii | $text | Case Record Type | JsonProperty | autoSort | true | JsonProperty | cId | "SsFUES"
Open Cases | ###0 | 214@j | General IT Support~7 | 120@^ | Hardware Request~7</t>
        </is>
      </c>
    </row>
    <row r="59">
      <c r="A59" s="32" t="inlineStr">
        <is>
          <t>Helpdesk Management</t>
        </is>
      </c>
      <c r="B59" s="32" t="inlineStr">
        <is>
          <t>7cfbd2aa-1005-4849-8265-24f616712bce</t>
        </is>
      </c>
      <c r="C59" s="32" t="inlineStr"/>
      <c r="D59" s="42" t="inlineStr"/>
      <c r="E59" s="32" t="inlineStr"/>
      <c r="F59" s="42" t="inlineStr">
        <is>
          <t>JsonProperty | title | "Resource Details" | JsonProperty | description | JsonProperty | sheetId | "kHgmg" | JsonProperty | creationDate | "2014-08-22"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60">
      <c r="A60" s="37" t="inlineStr">
        <is>
          <t>Helpdesk Management</t>
        </is>
      </c>
      <c r="B60" s="37" t="inlineStr">
        <is>
          <t>EwrnQf</t>
        </is>
      </c>
      <c r="C60" s="37" t="inlineStr"/>
      <c r="D60" s="43" t="inlineStr"/>
      <c r="E60" s="37" t="inlineStr"/>
      <c r="F60" s="43" t="inlineStr">
        <is>
          <t>JsonProperty" | title | "Case Details: 5Cases" | JsonProperty | description | JsonProperty | sheetId | "VkcYvCR" | JsonProperty | creationDate | "2014-02-19" | JsonObject | qMeta | JsonObject | qSelectionInfo | HyperCube | qHyperCube | JsonProperty | autoSort | true | JsonProperty | cId | "WCDwys" | JsonProperty | othersLabel | "Others"
CaseNumber | CaseNumber | $ascii | $text | JsonProperty | autoSort | true | JsonProperty | cId | "fnWKM" | JsonProperty | othersLabel | "Others" | Subject | Subject</t>
        </is>
      </c>
    </row>
    <row r="61">
      <c r="A61" s="32" t="inlineStr">
        <is>
          <t>Helpdesk Management</t>
        </is>
      </c>
      <c r="B61" s="32" t="inlineStr">
        <is>
          <t>WjzpP</t>
        </is>
      </c>
      <c r="C61" s="32" t="inlineStr"/>
      <c r="D61" s="42" t="inlineStr"/>
      <c r="E61" s="32" t="inlineStr"/>
      <c r="F61" s="42" t="inlineStr">
        <is>
          <t>JsonProperty! | title | "Cases by Department" | JsonProperty | description | JsonProperty | sheetId | "hPVwh" | JsonProperty | creationDate | "2014-02-19" | JsonObject | qMeta | JsonObject | qSelectionInfo | HyperCube | qHyperCube | JsonProperty | autoSort | true | JsonProperty | cId | "wcNJWqA" | JsonProperty | othersLabel | "Others" | Case Owner Group | Case Owner Group | $ascii | $text | JsonProperty | autoSort | true | JsonProperty | cId | "pMVPVQ"
Open Cases | 387@x0 | 387@x0 | IT Infrastructure~7 | 255@o</t>
        </is>
      </c>
    </row>
    <row r="62">
      <c r="A62" s="37" t="inlineStr">
        <is>
          <t>Helpdesk Management</t>
        </is>
      </c>
      <c r="B62" s="37" t="inlineStr">
        <is>
          <t>JaFS</t>
        </is>
      </c>
      <c r="C62" s="37" t="inlineStr"/>
      <c r="D62" s="43" t="inlineStr"/>
      <c r="E62" s="37" t="inlineStr"/>
      <c r="F62" s="43" t="inlineStr">
        <is>
          <t>JsonProperty | title | "Open Cases by Age" | JsonProperty | description | JsonProperty | sheetId | "kHgmg" | JsonProperty | creationDate | "2014-08-27" | JsonObject | qSelectionInfo | HyperCube | qHyperCube | JsonProperty | autoSort | true | JsonProperty | cId | "ZPMVHbm" | JsonProperty | othersLabel | "Others" | Case Timetable | Case Timetable | $ascii | $text | Case Timetable | JsonProperty | autoSort | true | JsonProperty | cId | "SdSNjp"
Open Cases | ###0 | JsonProperty | type | "colorByExpression" | 214@j</t>
        </is>
      </c>
    </row>
    <row r="63">
      <c r="A63" s="32" t="inlineStr">
        <is>
          <t>Helpdesk Management</t>
        </is>
      </c>
      <c r="B63" s="32" t="inlineStr">
        <is>
          <t>jdzPPB</t>
        </is>
      </c>
      <c r="C63" s="32" t="inlineStr"/>
      <c r="D63" s="42" t="inlineStr"/>
      <c r="E63" s="32" t="inlineStr"/>
      <c r="F63" s="42" t="inlineStr">
        <is>
          <t>JsonProperty | title | "Resource Details" | JsonProperty | description | JsonProperty | sheetId | "kHgmg" | JsonProperty | creationDate | "2014-02-19" | JsonObject | qMeta | JsonObject | qSelectionInfo | HyperCube | qHyperCube | JsonProperty | autoSort | false | JsonProperty | cId | "CMRptr" | JsonProperty | othersLabel | "Others"
Case Owner | Case Owner | $ascii | $text | JsonProperty | autoSort | true | JsonProperty | cId | "PkZUhCw" | JsonProperty | othersLabel | "Others" | Status | Status</t>
        </is>
      </c>
    </row>
    <row r="64">
      <c r="A64" s="37" t="inlineStr">
        <is>
          <t>Helpdesk Management</t>
        </is>
      </c>
      <c r="B64" s="37" t="inlineStr">
        <is>
          <t>bNqdKW</t>
        </is>
      </c>
      <c r="C64" s="37" t="inlineStr"/>
      <c r="D64" s="43" t="inlineStr"/>
      <c r="E64" s="37" t="inlineStr"/>
      <c r="F64" s="43" t="inlineStr">
        <is>
          <t>JsonProperty" | title | "Case Details: 5Cases" | JsonProperty | description | JsonProperty | sheetId | "VkcYvCR" | JsonProperty | creationDate | "2014-08-22" | JsonObject | qSelectionInfo | HyperCube | qHyperCube | JsonArray | columnOrder | JsonProperty | JsonProperty | JsonProperty | JsonProperty | JsonProperty | JsonProperty | JsonProperty | JsonProperty | autoSort | true | JsonProperty | cId | "WCDwys" | JsonProperty | othersLabel | "Others"
CaseNumber | CaseNumber | $ascii | $text | CaseNumber | JsonProperty | autoSort | true</t>
        </is>
      </c>
    </row>
    <row r="65">
      <c r="A65" s="32" t="inlineStr">
        <is>
          <t>Helpdesk Management</t>
        </is>
      </c>
      <c r="B65" s="32" t="inlineStr">
        <is>
          <t>JLkWNv</t>
        </is>
      </c>
      <c r="C65" s="32" t="inlineStr"/>
      <c r="D65" s="42" t="inlineStr"/>
      <c r="E65" s="32" t="inlineStr"/>
      <c r="F65" s="42" t="inlineStr">
        <is>
          <t>JsonProperty&amp; | title | "Open Cases Request Types" | JsonProperty | description | JsonProperty | sheetId | "hPVwh" | JsonProperty | creationDate | "2014-02-19" | JsonObject | qMeta | JsonObject | qSelectionInfo | HyperCube | qHyperCube | JsonProperty | autoSort | true | JsonProperty | cId | "gfexXV" | JsonProperty | othersLabel | "Others" | Case Record Type | Case Record Type | $ascii | $text | JsonProperty | autoSort | true | JsonProperty | cId | "SsFUES"
Open Cases | 417@z | 417@z | General IT Support~7 | 315@s</t>
        </is>
      </c>
    </row>
    <row r="66">
      <c r="A66" s="37" t="inlineStr">
        <is>
          <t>Helpdesk Management</t>
        </is>
      </c>
      <c r="B66" s="37" t="inlineStr">
        <is>
          <t>1685a978-ef75-48ce-b3ee-8b42de79d41c</t>
        </is>
      </c>
      <c r="C66" s="37" t="inlineStr"/>
      <c r="D66" s="43" t="inlineStr"/>
      <c r="E66" s="37" t="inlineStr"/>
      <c r="F66" s="43" t="inlineStr">
        <is>
          <t>JsonProperty | title | "Resource Details" | JsonProperty | description | JsonProperty | sheetId | "kHgmg" | JsonProperty | creationDate | "2014-08-27"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67">
      <c r="A67" s="32" t="inlineStr">
        <is>
          <t>Helpdesk Management</t>
        </is>
      </c>
      <c r="B67" s="32" t="inlineStr">
        <is>
          <t>gs01</t>
        </is>
      </c>
      <c r="C67" s="32" t="inlineStr"/>
      <c r="D67" s="42" t="inlineStr"/>
      <c r="E67" s="32" t="inlineStr"/>
      <c r="F67" s="42" t="inlineStr">
        <is>
          <t>JsonProperty | title | "Cases by Priority" | JsonProperty | description | JsonProperty | sheetId | "hPVwh" | JsonProperty | creationDate | "2014-02-19" | JsonObject | qMeta | JsonObject | qSelectionInfo | HyperCube | qHyperCube | JsonProperty | autoSort | false | JsonProperty | cId | "hScCFZ" | JsonProperty | othersLabel | "Others" | Priority | Priority | $ascii | $text | JsonProperty | autoSort | true | JsonProperty | cId | "PdXjFW"
Open Cases | 193@h | 193@h | High~7 | 26@:</t>
        </is>
      </c>
    </row>
    <row r="68">
      <c r="A68" s="37" t="inlineStr">
        <is>
          <t>Helpdesk Management</t>
        </is>
      </c>
      <c r="B68" s="37" t="inlineStr">
        <is>
          <t>PYUvUGd</t>
        </is>
      </c>
      <c r="C68" s="37" t="inlineStr"/>
      <c r="D68" s="43" t="inlineStr"/>
      <c r="E68" s="37" t="inlineStr"/>
      <c r="F68" s="43" t="inlineStr">
        <is>
          <t>JsonProperty | title | "Resource Details" | JsonProperty | description | JsonProperty | sheetId | "kHgmg" | JsonProperty | creationDate | "2014-08-27" | JsonObject | qSelectionInfo | JsonProperty | qInSelections | true | JsonProperty | qMadeSelections | true | HyperCube | qHyperCube | JsonArray | columnOrder | JsonProperty | JsonProperty | JsonProperty | JsonProperty | JsonProperty | JsonProperty | JsonProperty | JsonProperty | JsonProperty | JsonProperty | JsonProperty | autoSort | false | JsonProperty | cId | "CMRptr" | JsonProperty</t>
        </is>
      </c>
    </row>
    <row r="69">
      <c r="A69" s="32" t="inlineStr">
        <is>
          <t>Helpdesk Management</t>
        </is>
      </c>
      <c r="B69" s="32" t="inlineStr">
        <is>
          <t>BEQgPMP</t>
        </is>
      </c>
      <c r="C69" s="32" t="inlineStr"/>
      <c r="D69" s="42" t="inlineStr"/>
      <c r="E69" s="32" t="inlineStr"/>
      <c r="F69" s="42" t="inlineStr">
        <is>
          <t>JsonProperty&amp; | title | "Open Cases Request Types" | JsonProperty | description | JsonProperty | sheetId | "hPVwh" | JsonProperty | creationDate | "2014-08-22" | JsonObject | qSelectionInfo | HyperCube | qHyperCube | JsonProperty | autoSort | true | JsonProperty | cId | "gfexXV" | JsonProperty | othersLabel | "Others" | Case Record Type | Case Record Type | $ascii | $text | Case Record Type | JsonProperty | autoSort | true | JsonProperty | cId | "SsFUES"
Open Cases | ###0 | 129@` | General IT Support~7 | 75@R | Hardware Request~7</t>
        </is>
      </c>
    </row>
    <row r="70">
      <c r="A70" s="37" t="inlineStr">
        <is>
          <t>Helpdesk Management</t>
        </is>
      </c>
      <c r="B70" s="37" t="inlineStr">
        <is>
          <t>3810cb4d-a687-46e2-a1a4-25e8ae9132dc</t>
        </is>
      </c>
      <c r="C70" s="37" t="inlineStr"/>
      <c r="D70" s="43" t="inlineStr"/>
      <c r="E70" s="37" t="inlineStr"/>
      <c r="F70" s="43" t="inlineStr">
        <is>
          <t>JsonProperty&amp; | title | "Open Cases Request Types" | JsonProperty | description | JsonProperty | sheetId | "hPVwh" | JsonProperty | creationDate | "2014-08-22" | JsonObject | qSelectionInfo | HyperCube | qHyperCube | JsonProperty | autoSort | true | JsonProperty | cId | "gfexXV" | JsonProperty | othersLabel | "Others" | Case Record Type | Case Record Type | $ascii | $text | Case Record Type | JsonProperty | autoSort | true | JsonProperty | cId | "SsFUES"
Open Cases | ###0 | 129@` | General IT Support~7 | 75@R | Hardware Request~7</t>
        </is>
      </c>
    </row>
    <row r="71">
      <c r="A71" s="32" t="inlineStr">
        <is>
          <t>Helpdesk Management</t>
        </is>
      </c>
      <c r="B71" s="32" t="inlineStr">
        <is>
          <t>37645ec9-002a-4d01-8015-dbc037b580b3</t>
        </is>
      </c>
      <c r="C71" s="32" t="inlineStr"/>
      <c r="D71" s="42" t="inlineStr"/>
      <c r="E71" s="32" t="inlineStr"/>
      <c r="F71" s="42" t="inlineStr">
        <is>
          <t>JsonProperty&amp; | title | "Open Cases by Department" | JsonProperty | description | JsonProperty | sheetId | "hPVwh" | JsonProperty | creationDate | "2014-08-22" | JsonObject | qSelectionInfo | HyperCube | qHyperCube | JsonProperty | autoSort | true | JsonProperty | cId | "XYd" | JsonProperty | othersLabel | "Others" | Case Owner Group | Case Owner Group | $ascii | $text | Case Owner Group | JsonProperty | autoSort | true | JsonProperty | cId | "kJChju" | JsonProperty | numFormatFromTemplate | true
Open Cases | ###0 | IT Infrastructure</t>
        </is>
      </c>
    </row>
    <row r="72">
      <c r="A72" s="37" t="inlineStr">
        <is>
          <t>Helpdesk Management</t>
        </is>
      </c>
      <c r="B72" s="37" t="inlineStr">
        <is>
          <t>RzQeEcP</t>
        </is>
      </c>
      <c r="C72" s="37" t="inlineStr"/>
      <c r="D72" s="43" t="inlineStr"/>
      <c r="E72" s="37" t="inlineStr"/>
      <c r="F72" s="43" t="inlineStr">
        <is>
          <t>JsonProperty | title | JsonProperty | description | JsonProperty4 | sheetId | "1ff88551-9c4d-41e0-b790-37f4c11d3df8" | JsonProperty | creationDate | "2014-08-27" | JsonObject | qSelectionInfo | HyperCube | qHyperCube | JsonProperty | autoSort | true | JsonProperty | cId | "WBkSj" | Open Cases - High | ###0 | 72@R | JsonProperty | showTitles | false | JsonProperty | subtitle | JsonProperty | footnote | JsonObject | background | JsonObject; | url | StaticContentUrlDef | qStaticContentUrlDef | JsonProperty | size | "auto" | JsonProperty</t>
        </is>
      </c>
    </row>
    <row r="73">
      <c r="A73" s="32" t="inlineStr">
        <is>
          <t>Helpdesk Management</t>
        </is>
      </c>
      <c r="B73" s="32" t="inlineStr">
        <is>
          <t>fc485419-8c28-42ee-8a94-3f84cc731b7d</t>
        </is>
      </c>
      <c r="C73" s="32" t="inlineStr"/>
      <c r="D73" s="42" t="inlineStr"/>
      <c r="E73" s="32" t="inlineStr"/>
      <c r="F73" s="42" t="inlineStr">
        <is>
          <t>JsonProperty" | title | "Case Details: 5Cases" | JsonProperty | description | JsonProperty | sheetId | "VkcYvCR" | JsonProperty | creationDate | "2014-08-22" | JsonObject | qSelectionInfo | HyperCube | qHyperCube | JsonArray | columnOrder | JsonProperty | JsonProperty | JsonProperty | JsonProperty | JsonProperty | JsonProperty | JsonProperty | JsonProperty | autoSort | true | JsonProperty | cId | "WCDwys" | JsonProperty | othersLabel | "Others"
CaseNumber | CaseNumber | $ascii | $text | CaseNumber | JsonProperty | autoSort | true</t>
        </is>
      </c>
    </row>
    <row r="74">
      <c r="A74" s="37" t="inlineStr">
        <is>
          <t>Helpdesk Management</t>
        </is>
      </c>
      <c r="B74" s="37" t="inlineStr">
        <is>
          <t>bee65404-de30-4728-b2d6-bfacd57b89d5</t>
        </is>
      </c>
      <c r="C74" s="37" t="inlineStr"/>
      <c r="D74" s="43" t="inlineStr"/>
      <c r="E74" s="37" t="inlineStr"/>
      <c r="F74" s="43" t="inlineStr">
        <is>
          <t>JsonProperty. | title | "Case Distribution by IT Resource" | JsonProperty | description | JsonProperty | sheetId | "kHgmg" | JsonProperty | creationDate | "2014-08-22" | JsonObject | qSelectionInfo | HyperCube | qHyperCube | JsonProperty | autoSort | true | JsonProperty | cId | "gHJPJm" | JsonProperty | othersLabel | "Others" | Case Owner Group | Case Owner Group | $ascii | $text | Case Owner Group | JsonProperty | autoSort | true | JsonProperty | cId | "UJXjLJ" | JsonProperty | othersLabel | "Others"
Case Owner | Case Owner | $ascii</t>
        </is>
      </c>
    </row>
    <row r="75">
      <c r="A75" s="32" t="inlineStr">
        <is>
          <t>Helpdesk Management</t>
        </is>
      </c>
      <c r="B75" s="32" t="inlineStr">
        <is>
          <t>dPfwKn</t>
        </is>
      </c>
      <c r="C75" s="32" t="inlineStr"/>
      <c r="D75" s="42" t="inlineStr"/>
      <c r="E75" s="32" t="inlineStr"/>
      <c r="F75" s="42" t="inlineStr">
        <is>
          <t>JsonProperty&amp; | title | "Open Cases by Department" | JsonProperty | description | JsonProperty | sheetId | "hPVwh" | JsonProperty | creationDate | "2014-08-22" | JsonObject | qSelectionInfo | HyperCube | qHyperCube | JsonProperty | autoSort | true | JsonProperty | cId | "XYd" | JsonProperty | othersLabel | "Others" | Case Owner Group | Case Owner Group | $ascii | $text | Case Owner Group | JsonProperty | autoSort | true | JsonProperty | cId | "kJChju" | JsonProperty | numFormatFromTemplate | true
Open Cases | ###0 | IT Infrastructure</t>
        </is>
      </c>
    </row>
    <row r="76">
      <c r="A76" s="37" t="inlineStr">
        <is>
          <t>Helpdesk Management</t>
        </is>
      </c>
      <c r="B76" s="37" t="inlineStr">
        <is>
          <t>8791fb04-b62e-4fce-a565-941b8478df56</t>
        </is>
      </c>
      <c r="C76" s="37" t="inlineStr"/>
      <c r="D76" s="43" t="inlineStr"/>
      <c r="E76" s="37" t="inlineStr"/>
      <c r="F76" s="43" t="inlineStr">
        <is>
          <t>JsonProperty | title | JsonProperty | description | JsonProperty4 | sheetId | "1ff88551-9c4d-41e0-b790-37f4c11d3df8" | JsonProperty | creationDate | "2014-08-27" | JsonObject | qSelectionInfo | HyperCube | qHyperCube | JsonProperty | autoSort | true | JsonProperty | cId | "PRzuJJa" | JsonProperty | numFormatFromTemplate | true | Open Cases - Medium | ###0 | 142@a | JsonProperty | showTitles | false | JsonProperty | subtitle | JsonProperty | footnote | JsonProperty | responsive | "all" | JsonProperty | markdown | "^[#[%[%[**Medium Priority**](5)](undefined)](1)](center)\n^[#[%[%[=[](PRzuJJa)](5)](undefined)](8)\n#[%[%[**%[Cases](4)**](5)](undefined)](1)](center)" | JsonObject</t>
        </is>
      </c>
    </row>
    <row r="77">
      <c r="A77" s="32" t="inlineStr">
        <is>
          <t>Helpdesk Management</t>
        </is>
      </c>
      <c r="B77" s="32" t="inlineStr">
        <is>
          <t>zxkjWyZ</t>
        </is>
      </c>
      <c r="C77" s="32" t="inlineStr"/>
      <c r="D77" s="42" t="inlineStr"/>
      <c r="E77" s="32" t="inlineStr"/>
      <c r="F77" s="42" t="inlineStr">
        <is>
          <t>JsonProperty | title | "Resource Details" | JsonProperty | description | JsonProperty | sheetId | "kHgmg" | JsonProperty | creationDate | "2014-08-27"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78">
      <c r="A78" s="37" t="inlineStr">
        <is>
          <t>Helpdesk Management</t>
        </is>
      </c>
      <c r="B78" s="37" t="inlineStr">
        <is>
          <t>c1b5c2b8-f6d8-4dfe-85ea-0c6f4206112d</t>
        </is>
      </c>
      <c r="C78" s="37" t="inlineStr"/>
      <c r="D78" s="43" t="inlineStr"/>
      <c r="E78" s="37" t="inlineStr"/>
      <c r="F78" s="43" t="inlineStr">
        <is>
          <t>JsonProperty | title | "Resource Details" | JsonProperty | description | JsonProperty | sheetId | "kHgmg" | JsonProperty | creationDate | "2014-08-27" | JsonObject | qSelectionInfo | JsonProperty | qInSelections | true | JsonProperty | qMadeSelections | true | HyperCube | qHyperCube | JsonArray | columnOrder | JsonProperty | JsonProperty | JsonProperty | JsonProperty | JsonProperty | JsonProperty | JsonProperty | JsonProperty | JsonProperty | JsonProperty | JsonProperty | autoSort | false | JsonProperty | cId | "CMRptr" | JsonProperty</t>
        </is>
      </c>
    </row>
    <row r="79">
      <c r="A79" s="32" t="inlineStr">
        <is>
          <t>Helpdesk Management</t>
        </is>
      </c>
      <c r="B79" s="32" t="inlineStr">
        <is>
          <t>eExTHGH</t>
        </is>
      </c>
      <c r="C79" s="32" t="inlineStr"/>
      <c r="D79" s="42" t="inlineStr"/>
      <c r="E79" s="32" t="inlineStr"/>
      <c r="F79" s="42" t="inlineStr">
        <is>
          <t>JsonProperty | title | "Open Cases by Age" | JsonProperty | description | JsonProperty | sheetId | "pKnjHKZ" | JsonProperty | creationDate | "2014-08-22" | JsonObject | qSelectionInfo | HyperCube | qHyperCube | JsonProperty | autoSort | false | JsonProperty | cId | "VxpnqUy" | JsonProperty | othersLabel | "Others" | Case Timetable | Case Timetable | $ascii | $text | Case Timetable | JsonProperty | autoSort | true | JsonProperty | cId | "JzRvRJJ"
Open Cases | ###0 | 75@R | Yesterday~7 | 2-7 days~7 | 20@4</t>
        </is>
      </c>
    </row>
    <row r="80">
      <c r="A80" s="37" t="inlineStr">
        <is>
          <t>Helpdesk Management</t>
        </is>
      </c>
      <c r="B80" s="37" t="inlineStr">
        <is>
          <t>wJxMEa</t>
        </is>
      </c>
      <c r="C80" s="37" t="inlineStr"/>
      <c r="D80" s="43" t="inlineStr"/>
      <c r="E80" s="37" t="inlineStr"/>
      <c r="F80" s="43" t="inlineStr">
        <is>
          <t>JsonProperty | title | "Cases by Priority" | JsonProperty | description | JsonProperty | sheetId | "hPVwh" | JsonProperty | creationDate | "2014-02-19" | JsonObject | qMeta | JsonObject | qSelectionInfo | HyperCube | qHyperCube | JsonProperty | autoSort | false | JsonProperty | cId | "hScCFZ" | JsonProperty | othersLabel | "Others" | Priority | Priority | $ascii | $text | JsonProperty | autoSort | true | JsonProperty | cId | "PdXjFW"
Open Cases | @i` | 417@z | 417@z | High~7</t>
        </is>
      </c>
    </row>
    <row r="81">
      <c r="A81" s="32" t="inlineStr">
        <is>
          <t>Helpdesk Management</t>
        </is>
      </c>
      <c r="B81" s="32" t="inlineStr">
        <is>
          <t>e6ecbc9e-d414-43c2-b506-3b3a7a9e3cea</t>
        </is>
      </c>
      <c r="C81" s="32" t="inlineStr"/>
      <c r="D81" s="42" t="inlineStr"/>
      <c r="E81" s="32" t="inlineStr"/>
      <c r="F81" s="42" t="inlineStr">
        <is>
          <t>JsonProperty# | title | "Case Details: 15Cases" | JsonProperty | description | JsonProperty | sheetId | "VkcYvCR" | JsonProperty | creationDate | "2014-08-27" | JsonObject | qSelectionInfo | HyperCube | qHyperCube | JsonArray | columnOrder | JsonProperty | JsonProperty | JsonProperty | JsonProperty | JsonProperty | JsonProperty | JsonProperty | JsonProperty | autoSort | true | JsonProperty | cId | "WCDwys" | JsonProperty | othersLabel | "Others"
CaseNumber | CaseNumber | $ascii | $text | CaseNumber | JsonProperty | autoSort | true</t>
        </is>
      </c>
    </row>
    <row r="82">
      <c r="A82" s="37" t="inlineStr">
        <is>
          <t>Helpdesk Management</t>
        </is>
      </c>
      <c r="B82" s="37" t="inlineStr">
        <is>
          <t>3afa351a-3ccc-41c4-8c3d-7c8fbb5eb11f</t>
        </is>
      </c>
      <c r="C82" s="37" t="inlineStr"/>
      <c r="D82" s="43" t="inlineStr"/>
      <c r="E82" s="37" t="inlineStr"/>
      <c r="F82" s="43" t="inlineStr">
        <is>
          <t>JsonProperty | title | "Open Cases by Age" | JsonProperty | description | JsonProperty | sheetId | "kHgmg" | JsonProperty | creationDate | "2014-08-27" | JsonObject | qSelectionInfo | HyperCube | qHyperCube | JsonProperty | autoSort | true | JsonProperty | cId | "ZPMVHbm" | JsonProperty | othersLabel | "Others" | Case Timetable | Case Timetable | $ascii | $text | Case Timetable | JsonProperty | autoSort | true | JsonProperty | cId | "SdSNjp"
Open Cases | ###0 | JsonProperty | type | "colorByExpression" | 214@j</t>
        </is>
      </c>
    </row>
    <row r="83">
      <c r="A83" s="32" t="inlineStr">
        <is>
          <t>Helpdesk Management</t>
        </is>
      </c>
      <c r="B83" s="32" t="inlineStr">
        <is>
          <t>qSzaJ</t>
        </is>
      </c>
      <c r="C83" s="32" t="inlineStr"/>
      <c r="D83" s="42" t="inlineStr"/>
      <c r="E83" s="32" t="inlineStr"/>
      <c r="F83" s="42" t="inlineStr">
        <is>
          <t>JsonProperty | title | JsonProperty | description | JsonProperty4 | sheetId | "1ff88551-9c4d-41e0-b790-37f4c11d3df8" | JsonProperty | creationDate | "2014-08-27" | JsonObject | qSelectionInfo | HyperCube | qHyperCube | JsonProperty | autoSort | true | JsonProperty | cId | "PRzuJJa" | JsonProperty | numFormatFromTemplate | true | Open Cases - Medium | ###0 | 142@a | JsonProperty | showTitles | false | JsonProperty | subtitle | JsonProperty | footnote | JsonProperty | responsive | "all" | JsonProperty | markdown | "^[#[%[%[**Medium Priority**](5)](undefined)](1)](center)\n^[#[%[%[=[](PRzuJJa)](5)](undefined)](8)\n#[%[%[**%[Cases](4)**](5)](undefined)](1)](center)" | JsonObject</t>
        </is>
      </c>
    </row>
    <row r="84">
      <c r="A84" s="37" t="inlineStr">
        <is>
          <t>Helpdesk Management</t>
        </is>
      </c>
      <c r="B84" s="37" t="inlineStr">
        <is>
          <t>abf077f7-28dc-4563-86c9-e42e5b12cf14</t>
        </is>
      </c>
      <c r="C84" s="37" t="inlineStr"/>
      <c r="D84" s="43" t="inlineStr"/>
      <c r="E84" s="37" t="inlineStr"/>
      <c r="F84" s="43" t="inlineStr">
        <is>
          <t>JsonProperty | title | "Resource Details" | JsonProperty | description | JsonProperty | sheetId | "kHgmg" | JsonProperty | creationDate | "2014-08-27"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85">
      <c r="A85" s="32" t="inlineStr">
        <is>
          <t>Helpdesk Management</t>
        </is>
      </c>
      <c r="B85" s="32" t="inlineStr">
        <is>
          <t>2bc4105a-8712-457f-bc9a-5992fd99a36f</t>
        </is>
      </c>
      <c r="C85" s="32" t="inlineStr"/>
      <c r="D85" s="42" t="inlineStr"/>
      <c r="E85" s="32" t="inlineStr"/>
      <c r="F85" s="42" t="inlineStr">
        <is>
          <t>JsonProperty | title | "Open Cases by Age" | JsonProperty | description | JsonProperty | sheetId | "kHgmg" | JsonProperty | creationDate | "2014-08-27" | JsonObject | qSelectionInfo | HyperCube | qHyperCube | JsonProperty | autoSort | true | JsonProperty | cId | "ZPMVHbm" | JsonProperty | othersLabel | "Others" | Case Timetable | Case Timetable | $ascii | $text | Case Timetable | JsonProperty | autoSort | true | JsonProperty | cId | "SdSNjp"
Open Cases | ###0 | JsonProperty | type | "colorByExpression" | 417@z</t>
        </is>
      </c>
    </row>
    <row r="86">
      <c r="A86" s="37" t="inlineStr">
        <is>
          <t>Helpdesk Management</t>
        </is>
      </c>
      <c r="B86" s="37" t="inlineStr">
        <is>
          <t>93adcc6e-43a2-4503-b081-74f34502e55c</t>
        </is>
      </c>
      <c r="C86" s="37" t="inlineStr"/>
      <c r="D86" s="43" t="inlineStr"/>
      <c r="E86" s="37" t="inlineStr"/>
      <c r="F86" s="43" t="inlineStr">
        <is>
          <t>JsonProperty | title | "Resource Details" | JsonProperty | description | JsonProperty | sheetId | "kHgmg" | JsonProperty | creationDate | "2014-08-22" | JsonObject | qSelectionInfo | HyperCube | qHyperCube | JsonArray | columnOrder | JsonProperty | JsonProperty | JsonProperty | JsonProperty | JsonProperty | JsonProperty | JsonProperty | JsonProperty | JsonProperty | JsonProperty | JsonProperty | autoSort | false | JsonProperty | cId | "CMRptr" | JsonProperty | othersLabel | "Others"
Case Owner | Case Owner | $ascii | $text | Case Owner</t>
        </is>
      </c>
    </row>
    <row r="87">
      <c r="A87" s="32" t="inlineStr">
        <is>
          <t>Helpdesk Management</t>
        </is>
      </c>
      <c r="B87" s="32" t="inlineStr">
        <is>
          <t>xJQWme</t>
        </is>
      </c>
      <c r="C87" s="32" t="inlineStr"/>
      <c r="D87" s="42" t="inlineStr"/>
      <c r="E87" s="32" t="inlineStr"/>
      <c r="F87" s="42" t="inlineStr">
        <is>
          <t>JsonProperty | title | "Cases by Priority" | JsonProperty | description | JsonProperty | sheetId | "hPVwh" | JsonProperty | creationDate | "2014-08-22" | JsonObject | qSelectionInfo | HyperCube | qHyperCube | JsonProperty | autoSort | false | JsonProperty | cId | "hScCFZ" | JsonProperty | othersLabel | "Others" | Priority | Priority | $ascii | $text | Priority | JsonProperty | autoSort | true | JsonProperty | cId | "PdXjFW"
Open Cases | ###0 | @i` | 417@z | High~7 | 72@R</t>
        </is>
      </c>
    </row>
    <row r="88">
      <c r="A88" s="37" t="inlineStr">
        <is>
          <t>Helpdesk Management</t>
        </is>
      </c>
      <c r="B88" s="37" t="inlineStr">
        <is>
          <t>Wj01</t>
        </is>
      </c>
      <c r="C88" s="37" t="inlineStr"/>
      <c r="D88" s="43" t="inlineStr"/>
      <c r="E88" s="37" t="inlineStr"/>
      <c r="F88" s="43" t="inlineStr">
        <is>
          <t>JsonProperty! | title | "Cases by Department" | JsonProperty | description | JsonProperty | sheetId | "hPVwh" | JsonProperty | creationDate | "2014-02-19" | JsonObject | qMeta | JsonObject | qSelectionInfo | HyperCube | qHyperCube | JsonProperty | autoSort | true | JsonProperty | cId | "wcNJWqA" | JsonProperty | othersLabel | "Others" | Case Owner Group | Case Owner Group | $ascii | $text | JsonProperty | autoSort | true | JsonProperty | cId | "pMVPVQ"
Open Cases | 387@x0 | 387@x0 | IT Infrastructure~7 | 255@o</t>
        </is>
      </c>
    </row>
    <row r="89">
      <c r="A89" s="32" t="inlineStr">
        <is>
          <t>Helpdesk Management</t>
        </is>
      </c>
      <c r="B89" s="32" t="inlineStr">
        <is>
          <t>ZPuAVF</t>
        </is>
      </c>
      <c r="C89" s="32" t="inlineStr"/>
      <c r="D89" s="42" t="inlineStr"/>
      <c r="E89" s="32" t="inlineStr"/>
      <c r="F89" s="42" t="inlineStr">
        <is>
          <t>JsonProperty&amp; | title | "Open Cases Request Types" | JsonProperty | description | JsonProperty | sheetId | "hPVwh" | JsonProperty | creationDate | "2014-02-19" | JsonObject | qMeta | JsonObject | qSelectionInfo | HyperCube | qHyperCube | JsonProperty | autoSort | true | JsonProperty | cId | "gfexXV" | JsonProperty | othersLabel | "Others" | Case Record Type | Case Record Type | $ascii | $text | JsonProperty | autoSort | true | JsonProperty | cId | "SsFUES"
Open Cases | 255@o | 255@o | General IT Support~7 | 193@h</t>
        </is>
      </c>
    </row>
    <row r="90">
      <c r="A90" s="37" t="inlineStr">
        <is>
          <t>Helpdesk Management</t>
        </is>
      </c>
      <c r="B90" s="37" t="inlineStr">
        <is>
          <t>bRqqLHx</t>
        </is>
      </c>
      <c r="C90" s="37" t="inlineStr"/>
      <c r="D90" s="43" t="inlineStr"/>
      <c r="E90" s="37" t="inlineStr"/>
      <c r="F90" s="43" t="inlineStr">
        <is>
          <t>JsonProperty | title | JsonProperty | description | JsonProperty4 | sheetId | "1ff88551-9c4d-41e0-b790-37f4c11d3df8" | JsonProperty- | creationDate | "2015-02-20T18:50:51.479Z" | JsonObject | qSelectionInfo | JsonObject | metadata | JsonProperty | name | JsonProperty | description | JsonArray | tags | JsonProperty | showTitles | false | JsonProperty | subtitle | JsonProperty | footnote | JsonProperty | showMeasureTitle | true | JsonProperty | textAlign | "center" | JsonProperty | fontSize | "M" | JsonProperty | useLink | false | JsonObject</t>
        </is>
      </c>
    </row>
    <row r="91">
      <c r="A91" s="32" t="inlineStr">
        <is>
          <t>Helpdesk Management</t>
        </is>
      </c>
      <c r="B91" s="32" t="inlineStr">
        <is>
          <t>RePzDW</t>
        </is>
      </c>
      <c r="C91" s="32" t="inlineStr"/>
      <c r="D91" s="42" t="inlineStr"/>
      <c r="E91" s="32" t="inlineStr"/>
      <c r="F91" s="42" t="inlineStr">
        <is>
          <t>JsonProperty | title | JsonProperty | description | JsonProperty4 | sheetId | "1ff88551-9c4d-41e0-b790-37f4c11d3df8" | JsonProperty- | creationDate | "2015-02-20T18:50:49.962Z" | JsonObject | qSelectionInfo | JsonObject | metadata | JsonProperty | name | JsonProperty | description | JsonArray | tags | JsonProperty | showTitles | false | JsonProperty | subtitle | JsonProperty | footnote | JsonProperty | showMeasureTitle | true | JsonProperty | textAlign | "center" | JsonProperty | fontSize | "M" | JsonProperty | useLink | false | JsonObject</t>
        </is>
      </c>
    </row>
    <row r="92">
      <c r="A92" s="37" t="inlineStr">
        <is>
          <t>Helpdesk Management</t>
        </is>
      </c>
      <c r="B92" s="37" t="inlineStr">
        <is>
          <t>amHCpq</t>
        </is>
      </c>
      <c r="C92" s="37" t="inlineStr"/>
      <c r="D92" s="43" t="inlineStr"/>
      <c r="E92" s="37" t="inlineStr"/>
      <c r="F92" s="43" t="inlineStr">
        <is>
          <t>JsonProperty | sheetId | "kHgmg" | JsonProperty0 | selectionFields | "Priority, Case Timetable" | JsonProperty- | creationDate | "2015-05-15T17:41:53.399Z" | qInfo | amHCpq | bookmark | qMetaDef | JsonProperty | title | "High Priority cases that have been open for more than 1 month." | JsonProperty | description | "View the high priority cases that have been open for more than 1 month." | Priority | High | Case Timetable | Over a month old</t>
        </is>
      </c>
    </row>
    <row r="93">
      <c r="A93" s="32" t="inlineStr">
        <is>
          <t>Helpdesk Management</t>
        </is>
      </c>
      <c r="B93" s="32" t="inlineStr">
        <is>
          <t>mpGQd</t>
        </is>
      </c>
      <c r="C93" s="32" t="inlineStr"/>
      <c r="D93" s="42" t="inlineStr"/>
      <c r="E93" s="32" t="inlineStr"/>
      <c r="F93" s="42" t="inlineStr">
        <is>
          <t>JsonProperty | sheetId | "VkcYvCR" | JsonProperty9 | selectionFields | "Case Timetable, Cases Open/Closed" | JsonProperty- | creationDate | "2015-05-15T17:43:23.213Z" | qInfo | mpGQd | bookmark | qMetaDef | JsonProperty | title | "Open cases that have been open for more than 1 month." | JsonProperty | description | "View the open cases that have been open for more than 1 month." | Cases Open/Closed | Open Cases | Case Timetable | Over a month old | rL"</t>
        </is>
      </c>
    </row>
    <row r="94">
      <c r="A94" s="37" t="inlineStr">
        <is>
          <t>Helpdesk Management</t>
        </is>
      </c>
      <c r="B94" s="37" t="inlineStr">
        <is>
          <t>wvvjH</t>
        </is>
      </c>
      <c r="C94" s="37" t="inlineStr"/>
      <c r="D94" s="43" t="inlineStr"/>
      <c r="E94" s="37" t="inlineStr"/>
      <c r="F94" s="43" t="inlineStr">
        <is>
          <t>JsonProperty | sheetId | "VkcYvCR" | JsonProperty" | selectionFields | "Case Owner" | JsonProperty- | creationDate | "2015-05-15T17:45:46.948Z" | qInfo | wvvjH | bookmark | qMetaDef | JsonProperty( | title | "Gerardo E. Ferroni's cases" | JsonProperty | description | "View the cases assigned to Gerardo E. Ferroni." | Case Owner | Gerardo E. Ferroni</t>
        </is>
      </c>
    </row>
    <row r="95">
      <c r="A95" s="32" t="inlineStr">
        <is>
          <t>Tutorial creazione nuova app</t>
        </is>
      </c>
      <c r="B95" s="32" t="inlineStr">
        <is>
          <t>hPzTmzp</t>
        </is>
      </c>
      <c r="C95" s="32" t="inlineStr"/>
      <c r="D95" s="42" t="inlineStr"/>
      <c r="E95" s="32" t="inlineStr"/>
      <c r="F95" s="42" t="inlineStr">
        <is>
          <t>JsonProperty | sheetId | "pNfY" | JsonProperty- | creationDate | "2016-01-31T19:41:03.218Z" | JsonObject | qSelectionInfo | HyperCube | qHyperCube | JsonObject9 | customErrorMessage | JsonProperty | calcCond | JsonProperty | autoSort | true | JsonProperty | cId | "mzkEES" | JsonProperty | othersLabel | "Altri" | Region | Region | $ascii | $text | Region | JsonProperty | autoSort | true | JsonProperty | cId | "VVFzHG" | JsonProperty | numFormatFromTemplate | true | Sales | AI\ | 104852674.81A</t>
        </is>
      </c>
    </row>
    <row r="96">
      <c r="A96" s="37" t="inlineStr">
        <is>
          <t>Tutorial creazione nuova app</t>
        </is>
      </c>
      <c r="B96" s="37" t="inlineStr">
        <is>
          <t>PYfTRBp</t>
        </is>
      </c>
      <c r="C96" s="37" t="inlineStr"/>
      <c r="D96" s="43" t="inlineStr"/>
      <c r="E96" s="37" t="inlineStr"/>
      <c r="F96" s="43" t="inlineStr">
        <is>
          <t>JsonProperty | sheetId | "pNfY" | JsonProperty- | creationDate | "2016-01-31T19:41:22.935Z" | JsonObject | qSelectionInfo | JsonProperty | qInSelections | false | JsonProperty | qMadeSelections | false | HyperCube | qHyperCube | JsonObject9 | customErrorMessage | JsonProperty | calcCond | JsonProperty | autoSort | true | JsonProperty | cId | "JFbSNFK" | JsonProperty | othersLabel | "Altri" | Customer+ | Customer | $text | Customer | JsonProperty | autoSort | true | JsonProperty | cId | "vMeKe" | JsonProperty</t>
        </is>
      </c>
    </row>
    <row r="97">
      <c r="A97" s="32" t="inlineStr">
        <is>
          <t>Tutorial creazione nuova app</t>
        </is>
      </c>
      <c r="B97" s="32" t="inlineStr">
        <is>
          <t>tXJRmJ</t>
        </is>
      </c>
      <c r="C97" s="32" t="inlineStr"/>
      <c r="D97" s="42" t="inlineStr"/>
      <c r="E97" s="32" t="inlineStr"/>
      <c r="F97" s="42" t="inlineStr">
        <is>
          <t>JsonProperty | sheetId | "pNfY" | JsonProperty- | creationDate | "2016-01-31T19:41:40.596Z" | JsonObject | qSelectionInfo | HyperCube | qHyperCube | JsonObject9 | customErrorMessage | JsonProperty | calcCond | JsonProperty | autoSort | true | JsonProperty | cId | "FCxn" | JsonProperty | othersLabel | "Altri" | Quarter | Quarter | $ascii | $text | Quarter | JsonProperty | autoSort | true | JsonProperty | cId | "pPbjDm" | JsonProperty | othersLabel | "Altri" | Year | Year | $numeric</t>
        </is>
      </c>
    </row>
    <row r="98">
      <c r="A98" s="37" t="inlineStr">
        <is>
          <t>Tutorial creazione nuova app</t>
        </is>
      </c>
      <c r="B98" s="37" t="inlineStr">
        <is>
          <t>BWPJTT</t>
        </is>
      </c>
      <c r="C98" s="37" t="inlineStr"/>
      <c r="D98" s="43" t="inlineStr"/>
      <c r="E98" s="37" t="inlineStr"/>
      <c r="F98" s="43" t="inlineStr">
        <is>
          <t>JsonProperty | sheetId | "pNfY" | JsonProperty- | creationDate | "2016-01-31T19:42:12.354Z" | JsonObject | qSelectionInfo | JsonProperty | qInSelections | false | JsonProperty | qMadeSelections | false | HyperCube | qHyperCube | JsonObject9 | customErrorMessage | JsonProperty | calcCond | JsonProperty | autoSort | true | JsonProperty | cId | "JFbSNFK" | JsonProperty | othersLabel | "Altri" | Customer+ | Customer | $text | Customer | JsonProperty | autoSort | true | JsonProperty | cId | "vMeKe" | JsonProperty</t>
        </is>
      </c>
    </row>
    <row r="99">
      <c r="A99" s="32" t="inlineStr">
        <is>
          <t>Tutorial creazione nuova app</t>
        </is>
      </c>
      <c r="B99" s="32" t="inlineStr">
        <is>
          <t>HHNF</t>
        </is>
      </c>
      <c r="C99" s="32" t="inlineStr"/>
      <c r="D99" s="42" t="inlineStr"/>
      <c r="E99" s="32" t="inlineStr"/>
      <c r="F99" s="42" t="inlineStr">
        <is>
          <t>JsonProperty | sheetId | "pNfY" | JsonProperty- | creationDate | "2016-01-31T19:42:20.955Z" | JsonObject | qSelectionInfo | HyperCube | qHyperCube | JsonObject9 | customErrorMessage | JsonProperty | calcCond | JsonProperty | autoSort | true | JsonProperty | cId | "FCxn" | JsonProperty | othersLabel | "Altri" | Quarter | Quarter | $ascii | $text | Quarter | JsonProperty | autoSort | true | JsonProperty | cId | "pPbjDm" | JsonProperty | othersLabel | "Altri" | Year | Year | $numeric</t>
        </is>
      </c>
    </row>
    <row r="100">
      <c r="A100" s="37" t="inlineStr">
        <is>
          <t>Tutorial creazione nuova app</t>
        </is>
      </c>
      <c r="B100" s="37" t="inlineStr">
        <is>
          <t>LsqFvez</t>
        </is>
      </c>
      <c r="C100" s="37" t="inlineStr"/>
      <c r="D100" s="43" t="inlineStr"/>
      <c r="E100" s="37" t="inlineStr"/>
      <c r="F100" s="43" t="inlineStr">
        <is>
          <t>JsonProperty | sheetId | "pNfY" | JsonProperty- | creationDate | "2016-01-31T19:42:39.143Z" | JsonObject | qSelectionInfo | JsonProperty | qInSelections | false | JsonProperty | qMadeSelections | false | HyperCube | qHyperCube | JsonObject9 | customErrorMessage | JsonProperty | calcCond | JsonProperty | autoSort | true | JsonProperty | cId | "JFbSNFK" | JsonProperty | othersLabel | "Altri" | Customer+ | Customer | $text | Customer | JsonProperty | autoSort | true | JsonProperty | cId | "vMeKe" | JsonProperty</t>
        </is>
      </c>
    </row>
    <row r="101">
      <c r="A101" s="32" t="inlineStr">
        <is>
          <t>Tutorial creazione nuova app</t>
        </is>
      </c>
      <c r="B101" s="32" t="inlineStr">
        <is>
          <t>AxEqrD</t>
        </is>
      </c>
      <c r="C101" s="32" t="inlineStr"/>
      <c r="D101" s="42" t="inlineStr"/>
      <c r="E101" s="32" t="inlineStr"/>
      <c r="F101" s="42" t="inlineStr">
        <is>
          <t>JsonProperty | sheetId | "pNfY" | JsonProperty- | creationDate | "2016-01-31T19:42:43.068Z" | JsonObject | qSelectionInfo | HyperCube | qHyperCube | JsonObject9 | customErrorMessage | JsonProperty | calcCond | JsonProperty | autoSort | true | JsonProperty | cId | "FCxn" | JsonProperty | othersLabel | "Altri" | Quarter | Quarter | $ascii | $text | Quarter | JsonProperty | autoSort | true | JsonProperty | cId | "pPbjDm" | JsonProperty | othersLabel | "Altri" | Year | Year | $numeric</t>
        </is>
      </c>
    </row>
    <row r="102">
      <c r="A102" s="37" t="inlineStr">
        <is>
          <t>Tutorial creazione nuova app</t>
        </is>
      </c>
      <c r="B102" s="37" t="inlineStr">
        <is>
          <t>aZTwkU</t>
        </is>
      </c>
      <c r="C102" s="37" t="inlineStr"/>
      <c r="D102" s="43" t="inlineStr"/>
      <c r="E102" s="37" t="inlineStr"/>
      <c r="F102" s="43" t="inlineStr">
        <is>
          <t>JsonProperty | sheetId | "pNfY" | JsonProperty- | creationDate | "2016-01-31T20:13:41.834Z" | JsonObject | qSelectionInfo | JsonProperty | qInSelections | false | JsonProperty | qMadeSelections | false | HyperCube | qHyperCube | JsonObject9 | customErrorMessage | JsonProperty | calcCond | JsonProperty | autoSort | true | JsonProperty | cId | "JFbSNFK" | JsonProperty | othersLabel | "Altri" | Customer+ | Customer | $text | Customer | JsonProperty | autoSort | true | JsonProperty | cId | "vMeKe" | JsonProperty</t>
        </is>
      </c>
    </row>
    <row r="103">
      <c r="A103" s="32" t="inlineStr">
        <is>
          <t>Tutorial creazione nuova app</t>
        </is>
      </c>
      <c r="B103" s="32" t="inlineStr">
        <is>
          <t>WJPWmP</t>
        </is>
      </c>
      <c r="C103" s="32" t="inlineStr"/>
      <c r="D103" s="42" t="inlineStr"/>
      <c r="E103" s="32" t="inlineStr"/>
      <c r="F103" s="42" t="inlineStr">
        <is>
          <t>JsonProperty | sheetId | "pNfY" | JsonProperty- | creationDate | "2016-01-31T20:13:43.689Z" | JsonObject | qSelectionInfo | HyperCube | qHyperCube | JsonObject9 | customErrorMessage | JsonProperty | calcCond | JsonProperty | autoSort | true | JsonProperty | cId | "FCxn" | JsonProperty | othersLabel | "Altri" | Quarter | Quarter | $ascii | $text | Quarter | JsonProperty | autoSort | true | JsonProperty | cId | "pPbjDm" | JsonProperty | othersLabel | "Altri" | Year | Year | $numeric</t>
        </is>
      </c>
    </row>
    <row r="104">
      <c r="A104" s="37" t="inlineStr">
        <is>
          <t>Tutorial creazione nuova app</t>
        </is>
      </c>
      <c r="B104" s="37" t="inlineStr">
        <is>
          <t>kwUYVB</t>
        </is>
      </c>
      <c r="C104" s="37" t="inlineStr"/>
      <c r="D104" s="43" t="inlineStr"/>
      <c r="E104" s="37" t="inlineStr"/>
      <c r="F104" s="43" t="inlineStr">
        <is>
          <t>JsonProperty | sheetId | "pNfY" | JsonProperty- | creationDate | "2016-01-31T20:13:50.461Z" | JsonObject | qSelectionInfo | HyperCube | qHyperCube | JsonObject9 | customErrorMessage | JsonProperty | calcCond | JsonProperty | autoSort | true | JsonProperty | cId | "tCx" | JsonProperty | othersLabel | "Altri"	MonthYear | MonthYear | $numeric | $integer
$timestamp | $date | MMM-YYYY | MonthYear | JsonProperty | autoSort | true | JsonProperty | cId | "GyLMtW" | JsonProperty | numFormatFromTemplate | true | JsonObject | series</t>
        </is>
      </c>
    </row>
    <row r="105">
      <c r="A105" s="32" t="inlineStr">
        <is>
          <t>Tutorial creazione nuova app</t>
        </is>
      </c>
      <c r="B105" s="32" t="inlineStr">
        <is>
          <t>zzvudPx</t>
        </is>
      </c>
      <c r="C105" s="32" t="inlineStr"/>
      <c r="D105" s="42" t="inlineStr"/>
      <c r="E105" s="32" t="inlineStr"/>
      <c r="F105" s="42" t="inlineStr">
        <is>
          <t>JsonProperty | sheetId | "pNfY" | JsonProperty | selectionFields | "Year" | JsonProperty- | creationDate | "2016-01-31T20:12:40.959Z" | qInfo | zzvudPx | bookmark | qMetaDef | JsonProperty) | title | "Dashboard - Year (\"2014\")" | JsonProperty | description | Year</t>
        </is>
      </c>
    </row>
    <row r="106">
      <c r="A106" s="37" t="inlineStr">
        <is>
          <t>Tutorial creazione nuova app</t>
        </is>
      </c>
      <c r="B106" s="37" t="inlineStr">
        <is>
          <t>BKPXpFb</t>
        </is>
      </c>
      <c r="C106" s="37" t="inlineStr"/>
      <c r="D106" s="43" t="inlineStr"/>
      <c r="E106" s="37" t="inlineStr"/>
      <c r="F106" s="43" t="inlineStr">
        <is>
          <t>JsonProperty | sheetId | "pNfY" | JsonProperty | selectionFields | "Year" | JsonProperty- | creationDate | "2016-01-31T20:13:09.663Z" | qInfo | BKPXpFb | bookmark | qMetaDef | JsonProperty) | title | "Dashboard - Year (\"2013\")" | JsonProperty | description | Year</t>
        </is>
      </c>
    </row>
  </sheetData>
  <autoFilter ref="A6:F106"/>
  <mergeCells count="1">
    <mergeCell ref="C2:E3"/>
  </mergeCell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2C4650"/>
    <outlinePr summaryBelow="1" summaryRight="1"/>
    <pageSetUpPr fitToPage="1"/>
  </sheetPr>
  <dimension ref="A2:F9"/>
  <sheetViews>
    <sheetView showGridLines="0" workbookViewId="0">
      <pane ySplit="6" topLeftCell="A7" activePane="bottomLeft" state="frozen"/>
      <selection pane="bottomLeft" activeCell="A1" sqref="A1"/>
    </sheetView>
  </sheetViews>
  <sheetFormatPr baseColWidth="8" defaultRowHeight="15"/>
  <cols>
    <col width="26" customWidth="1" min="1" max="1"/>
    <col width="16" customWidth="1" min="2" max="2"/>
    <col width="32" customWidth="1" min="3" max="3"/>
    <col width="50" customWidth="1" min="4" max="4"/>
    <col width="10" customWidth="1" min="5" max="5"/>
    <col width="12" customWidth="1" min="6" max="6"/>
    <col width="13" customWidth="1" min="7" max="7"/>
  </cols>
  <sheetData>
    <row r="1" ht="24" customHeight="1"/>
    <row r="2" ht="24" customHeight="1">
      <c r="C2" s="1" t="inlineStr">
        <is>
          <t>Stories  ·  data storytelling</t>
        </is>
      </c>
    </row>
    <row r="3" ht="20" customHeight="1"/>
    <row r="4" ht="10" customHeight="1"/>
    <row r="5" ht="18" customHeight="1">
      <c r="A5" s="29">
        <f>HYPERLINK("#'Discovery'!A1","«  Back to Discovery")</f>
        <v/>
      </c>
      <c r="B5" s="30" t="inlineStr">
        <is>
          <t>Stories with slide and slide-item counts.</t>
        </is>
      </c>
    </row>
    <row r="6" ht="30" customHeight="1">
      <c r="A6" s="31" t="inlineStr">
        <is>
          <t>App</t>
        </is>
      </c>
      <c r="B6" s="31" t="inlineStr">
        <is>
          <t>ID</t>
        </is>
      </c>
      <c r="C6" s="31" t="inlineStr">
        <is>
          <t>Title</t>
        </is>
      </c>
      <c r="D6" s="31" t="inlineStr">
        <is>
          <t>Description</t>
        </is>
      </c>
      <c r="E6" s="31" t="inlineStr">
        <is>
          <t>Slides</t>
        </is>
      </c>
      <c r="F6" s="31" t="inlineStr">
        <is>
          <t>Slide items</t>
        </is>
      </c>
    </row>
    <row r="7">
      <c r="A7" s="32" t="inlineStr">
        <is>
          <t>Executive Dashboard</t>
        </is>
      </c>
      <c r="B7" s="32" t="inlineStr">
        <is>
          <t>Cbpvks</t>
        </is>
      </c>
      <c r="C7" s="32" t="inlineStr">
        <is>
          <t>Margin Analysis by Sales Rep</t>
        </is>
      </c>
      <c r="D7" s="32" t="inlineStr">
        <is>
          <t>This story provides an analysis of sales reps with low margin and sales reps with high margin sales and the top product sold in each group.</t>
        </is>
      </c>
      <c r="E7" s="34" t="n">
        <v>4</v>
      </c>
      <c r="F7" s="34" t="n">
        <v>20</v>
      </c>
    </row>
    <row r="8">
      <c r="A8" s="37" t="inlineStr">
        <is>
          <t>Helpdesk Management</t>
        </is>
      </c>
      <c r="B8" s="37" t="inlineStr">
        <is>
          <t>VPqmKgS</t>
        </is>
      </c>
      <c r="C8" s="37" t="inlineStr">
        <is>
          <t>Analyzing High and Medium Priority Cases</t>
        </is>
      </c>
      <c r="D8" s="37" t="inlineStr">
        <is>
          <t>High and Medium priority cases attract the most attention within our company. These cases need to be resolved quickly. There are times when cases  remain open beyond our preset resolution time. We need to quickly identify those cases and figure out what resources are necessary to resolve the cases.</t>
        </is>
      </c>
      <c r="E8" s="39" t="n">
        <v>4</v>
      </c>
      <c r="F8" s="39" t="n">
        <v>13</v>
      </c>
    </row>
    <row r="9">
      <c r="A9" s="32" t="inlineStr">
        <is>
          <t>Tutorial creazione nuova app</t>
        </is>
      </c>
      <c r="B9" s="32" t="inlineStr">
        <is>
          <t>CjNwb</t>
        </is>
      </c>
      <c r="C9" s="32" t="inlineStr">
        <is>
          <t>Three largest regions</t>
        </is>
      </c>
      <c r="D9" s="32" t="inlineStr"/>
      <c r="E9" s="34" t="n">
        <v>7</v>
      </c>
      <c r="F9" s="34" t="n">
        <v>21</v>
      </c>
    </row>
  </sheetData>
  <autoFilter ref="A6:F9"/>
  <mergeCells count="1">
    <mergeCell ref="C2:C3"/>
  </mergeCells>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tabColor rgb="002C4650"/>
    <outlinePr summaryBelow="1" summaryRight="1"/>
    <pageSetUpPr fitToPage="1"/>
  </sheetPr>
  <dimension ref="A2:Q30"/>
  <sheetViews>
    <sheetView showGridLines="0" workbookViewId="0">
      <pane ySplit="6" topLeftCell="A7" activePane="bottomLeft" state="frozen"/>
      <selection pane="bottomLeft" activeCell="A1" sqref="A1"/>
    </sheetView>
  </sheetViews>
  <sheetFormatPr baseColWidth="8" defaultRowHeight="15"/>
  <cols>
    <col width="26" customWidth="1" min="1" max="1"/>
    <col width="6" customWidth="1" min="2" max="2"/>
    <col width="3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ht="24" customHeight="1"/>
    <row r="2" ht="24" customHeight="1">
      <c r="D2" s="1" t="inlineStr">
        <is>
          <t>Load script  ·  one row per script tab</t>
        </is>
      </c>
    </row>
    <row r="3" ht="20" customHeight="1"/>
    <row r="4" ht="10" customHeight="1"/>
    <row r="5" ht="18" customHeight="1">
      <c r="A5" s="29">
        <f>HYPERLINK("#'Discovery'!A1","«  Back to Discovery")</f>
        <v/>
      </c>
      <c r="B5" s="30" t="inlineStr">
        <is>
          <t>One row per script tab: lines and counts of LOAD, SELECT, STORE, JOIN and other statements.</t>
        </is>
      </c>
    </row>
    <row r="6" ht="30" customHeight="1">
      <c r="A6" s="31" t="inlineStr">
        <is>
          <t>App</t>
        </is>
      </c>
      <c r="B6" s="31" t="inlineStr">
        <is>
          <t>#</t>
        </is>
      </c>
      <c r="C6" s="31" t="inlineStr">
        <is>
          <t>Tab</t>
        </is>
      </c>
      <c r="D6" s="31" t="inlineStr">
        <is>
          <t>Lines</t>
        </is>
      </c>
      <c r="E6" s="31" t="inlineStr">
        <is>
          <t>LOAD</t>
        </is>
      </c>
      <c r="F6" s="31" t="inlineStr">
        <is>
          <t>SQL SELECT</t>
        </is>
      </c>
      <c r="G6" s="31" t="inlineStr">
        <is>
          <t>STORE</t>
        </is>
      </c>
      <c r="H6" s="31" t="inlineStr">
        <is>
          <t>DROP</t>
        </is>
      </c>
      <c r="I6" s="31" t="inlineStr">
        <is>
          <t>JOIN</t>
        </is>
      </c>
      <c r="J6" s="31" t="inlineStr">
        <is>
          <t>CONCATENATE</t>
        </is>
      </c>
      <c r="K6" s="31" t="inlineStr">
        <is>
          <t>MAPPING</t>
        </is>
      </c>
      <c r="L6" s="31" t="inlineStr">
        <is>
          <t>CROSSTABLE</t>
        </is>
      </c>
      <c r="M6" s="31" t="inlineStr">
        <is>
          <t>INTERVALMATCH</t>
        </is>
      </c>
      <c r="N6" s="31" t="inlineStr">
        <is>
          <t>SUB</t>
        </is>
      </c>
      <c r="O6" s="31" t="inlineStr">
        <is>
          <t>FOR/DO loops</t>
        </is>
      </c>
      <c r="P6" s="31" t="inlineStr">
        <is>
          <t>SET/LET</t>
        </is>
      </c>
      <c r="Q6" s="31" t="inlineStr">
        <is>
          <t>INLINE tables</t>
        </is>
      </c>
    </row>
    <row r="7">
      <c r="A7" s="32" t="inlineStr">
        <is>
          <t>Executive Dashboard</t>
        </is>
      </c>
      <c r="B7" s="34" t="n">
        <v>1</v>
      </c>
      <c r="C7" s="32" t="inlineStr">
        <is>
          <t>Main</t>
        </is>
      </c>
      <c r="D7" s="34" t="n">
        <v>38</v>
      </c>
      <c r="E7" s="34" t="n">
        <v>1</v>
      </c>
      <c r="F7" s="34" t="n">
        <v>0</v>
      </c>
      <c r="G7" s="34" t="n">
        <v>0</v>
      </c>
      <c r="H7" s="34" t="n">
        <v>0</v>
      </c>
      <c r="I7" s="34" t="n">
        <v>0</v>
      </c>
      <c r="J7" s="34" t="n">
        <v>0</v>
      </c>
      <c r="K7" s="34" t="n">
        <v>0</v>
      </c>
      <c r="L7" s="34" t="n">
        <v>0</v>
      </c>
      <c r="M7" s="34" t="n">
        <v>0</v>
      </c>
      <c r="N7" s="34" t="n">
        <v>0</v>
      </c>
      <c r="O7" s="34" t="n">
        <v>0</v>
      </c>
      <c r="P7" s="34" t="n">
        <v>20</v>
      </c>
      <c r="Q7" s="34" t="n">
        <v>0</v>
      </c>
    </row>
    <row r="8">
      <c r="A8" s="37" t="inlineStr">
        <is>
          <t>Executive Dashboard</t>
        </is>
      </c>
      <c r="B8" s="39" t="n">
        <v>2</v>
      </c>
      <c r="C8" s="37" t="inlineStr">
        <is>
          <t>Account</t>
        </is>
      </c>
      <c r="D8" s="39" t="n">
        <v>18</v>
      </c>
      <c r="E8" s="39" t="n">
        <v>3</v>
      </c>
      <c r="F8" s="39" t="n">
        <v>0</v>
      </c>
      <c r="G8" s="39" t="n">
        <v>0</v>
      </c>
      <c r="H8" s="39" t="n">
        <v>0</v>
      </c>
      <c r="I8" s="39" t="n">
        <v>0</v>
      </c>
      <c r="J8" s="39" t="n">
        <v>0</v>
      </c>
      <c r="K8" s="39" t="n">
        <v>0</v>
      </c>
      <c r="L8" s="39" t="n">
        <v>0</v>
      </c>
      <c r="M8" s="39" t="n">
        <v>0</v>
      </c>
      <c r="N8" s="39" t="n">
        <v>0</v>
      </c>
      <c r="O8" s="39" t="n">
        <v>0</v>
      </c>
      <c r="P8" s="39" t="n">
        <v>0</v>
      </c>
      <c r="Q8" s="39" t="n">
        <v>0</v>
      </c>
    </row>
    <row r="9">
      <c r="A9" s="32" t="inlineStr">
        <is>
          <t>Executive Dashboard</t>
        </is>
      </c>
      <c r="B9" s="34" t="n">
        <v>3</v>
      </c>
      <c r="C9" s="32" t="inlineStr">
        <is>
          <t>Budget</t>
        </is>
      </c>
      <c r="D9" s="34" t="n">
        <v>9</v>
      </c>
      <c r="E9" s="34" t="n">
        <v>1</v>
      </c>
      <c r="F9" s="34" t="n">
        <v>0</v>
      </c>
      <c r="G9" s="34" t="n">
        <v>0</v>
      </c>
      <c r="H9" s="34" t="n">
        <v>0</v>
      </c>
      <c r="I9" s="34" t="n">
        <v>0</v>
      </c>
      <c r="J9" s="34" t="n">
        <v>0</v>
      </c>
      <c r="K9" s="34" t="n">
        <v>0</v>
      </c>
      <c r="L9" s="34" t="n">
        <v>0</v>
      </c>
      <c r="M9" s="34" t="n">
        <v>0</v>
      </c>
      <c r="N9" s="34" t="n">
        <v>0</v>
      </c>
      <c r="O9" s="34" t="n">
        <v>0</v>
      </c>
      <c r="P9" s="34" t="n">
        <v>0</v>
      </c>
      <c r="Q9" s="34" t="n">
        <v>0</v>
      </c>
    </row>
    <row r="10">
      <c r="A10" s="37" t="inlineStr">
        <is>
          <t>Executive Dashboard</t>
        </is>
      </c>
      <c r="B10" s="39" t="n">
        <v>4</v>
      </c>
      <c r="C10" s="37" t="inlineStr">
        <is>
          <t>Inventory</t>
        </is>
      </c>
      <c r="D10" s="39" t="n">
        <v>8</v>
      </c>
      <c r="E10" s="39" t="n">
        <v>1</v>
      </c>
      <c r="F10" s="39" t="n">
        <v>0</v>
      </c>
      <c r="G10" s="39" t="n">
        <v>0</v>
      </c>
      <c r="H10" s="39" t="n">
        <v>0</v>
      </c>
      <c r="I10" s="39" t="n">
        <v>0</v>
      </c>
      <c r="J10" s="39" t="n">
        <v>0</v>
      </c>
      <c r="K10" s="39" t="n">
        <v>0</v>
      </c>
      <c r="L10" s="39" t="n">
        <v>0</v>
      </c>
      <c r="M10" s="39" t="n">
        <v>0</v>
      </c>
      <c r="N10" s="39" t="n">
        <v>0</v>
      </c>
      <c r="O10" s="39" t="n">
        <v>0</v>
      </c>
      <c r="P10" s="39" t="n">
        <v>0</v>
      </c>
      <c r="Q10" s="39" t="n">
        <v>0</v>
      </c>
    </row>
    <row r="11">
      <c r="A11" s="32" t="inlineStr">
        <is>
          <t>Executive Dashboard</t>
        </is>
      </c>
      <c r="B11" s="34" t="n">
        <v>5</v>
      </c>
      <c r="C11" s="32" t="inlineStr">
        <is>
          <t>Product</t>
        </is>
      </c>
      <c r="D11" s="34" t="n">
        <v>29</v>
      </c>
      <c r="E11" s="34" t="n">
        <v>5</v>
      </c>
      <c r="F11" s="34" t="n">
        <v>0</v>
      </c>
      <c r="G11" s="34" t="n">
        <v>0</v>
      </c>
      <c r="H11" s="34" t="n">
        <v>0</v>
      </c>
      <c r="I11" s="34" t="n">
        <v>0</v>
      </c>
      <c r="J11" s="34" t="n">
        <v>0</v>
      </c>
      <c r="K11" s="34" t="n">
        <v>0</v>
      </c>
      <c r="L11" s="34" t="n">
        <v>0</v>
      </c>
      <c r="M11" s="34" t="n">
        <v>0</v>
      </c>
      <c r="N11" s="34" t="n">
        <v>0</v>
      </c>
      <c r="O11" s="34" t="n">
        <v>0</v>
      </c>
      <c r="P11" s="34" t="n">
        <v>0</v>
      </c>
      <c r="Q11" s="34" t="n">
        <v>0</v>
      </c>
    </row>
    <row r="12">
      <c r="A12" s="37" t="inlineStr">
        <is>
          <t>Executive Dashboard</t>
        </is>
      </c>
      <c r="B12" s="39" t="n">
        <v>6</v>
      </c>
      <c r="C12" s="37" t="inlineStr">
        <is>
          <t>Sales Rep</t>
        </is>
      </c>
      <c r="D12" s="39" t="n">
        <v>5</v>
      </c>
      <c r="E12" s="39" t="n">
        <v>1</v>
      </c>
      <c r="F12" s="39" t="n">
        <v>0</v>
      </c>
      <c r="G12" s="39" t="n">
        <v>0</v>
      </c>
      <c r="H12" s="39" t="n">
        <v>0</v>
      </c>
      <c r="I12" s="39" t="n">
        <v>0</v>
      </c>
      <c r="J12" s="39" t="n">
        <v>0</v>
      </c>
      <c r="K12" s="39" t="n">
        <v>0</v>
      </c>
      <c r="L12" s="39" t="n">
        <v>0</v>
      </c>
      <c r="M12" s="39" t="n">
        <v>0</v>
      </c>
      <c r="N12" s="39" t="n">
        <v>0</v>
      </c>
      <c r="O12" s="39" t="n">
        <v>0</v>
      </c>
      <c r="P12" s="39" t="n">
        <v>0</v>
      </c>
      <c r="Q12" s="39" t="n">
        <v>0</v>
      </c>
    </row>
    <row r="13">
      <c r="A13" s="32" t="inlineStr">
        <is>
          <t>Executive Dashboard</t>
        </is>
      </c>
      <c r="B13" s="34" t="n">
        <v>7</v>
      </c>
      <c r="C13" s="32" t="inlineStr">
        <is>
          <t>FactTable</t>
        </is>
      </c>
      <c r="D13" s="34" t="n">
        <v>62</v>
      </c>
      <c r="E13" s="34" t="n">
        <v>5</v>
      </c>
      <c r="F13" s="34" t="n">
        <v>0</v>
      </c>
      <c r="G13" s="34" t="n">
        <v>0</v>
      </c>
      <c r="H13" s="34" t="n">
        <v>1</v>
      </c>
      <c r="I13" s="34" t="n">
        <v>0</v>
      </c>
      <c r="J13" s="34" t="n">
        <v>1</v>
      </c>
      <c r="K13" s="34" t="n">
        <v>0</v>
      </c>
      <c r="L13" s="34" t="n">
        <v>0</v>
      </c>
      <c r="M13" s="34" t="n">
        <v>0</v>
      </c>
      <c r="N13" s="34" t="n">
        <v>0</v>
      </c>
      <c r="O13" s="34" t="n">
        <v>0</v>
      </c>
      <c r="P13" s="34" t="n">
        <v>0</v>
      </c>
      <c r="Q13" s="34" t="n">
        <v>0</v>
      </c>
    </row>
    <row r="14">
      <c r="A14" s="37" t="inlineStr">
        <is>
          <t>Executive Dashboard</t>
        </is>
      </c>
      <c r="B14" s="39" t="n">
        <v>8</v>
      </c>
      <c r="C14" s="37" t="inlineStr">
        <is>
          <t>Customer</t>
        </is>
      </c>
      <c r="D14" s="39" t="n">
        <v>34</v>
      </c>
      <c r="E14" s="39" t="n">
        <v>4</v>
      </c>
      <c r="F14" s="39" t="n">
        <v>0</v>
      </c>
      <c r="G14" s="39" t="n">
        <v>0</v>
      </c>
      <c r="H14" s="39" t="n">
        <v>0</v>
      </c>
      <c r="I14" s="39" t="n">
        <v>0</v>
      </c>
      <c r="J14" s="39" t="n">
        <v>0</v>
      </c>
      <c r="K14" s="39" t="n">
        <v>0</v>
      </c>
      <c r="L14" s="39" t="n">
        <v>0</v>
      </c>
      <c r="M14" s="39" t="n">
        <v>0</v>
      </c>
      <c r="N14" s="39" t="n">
        <v>0</v>
      </c>
      <c r="O14" s="39" t="n">
        <v>0</v>
      </c>
      <c r="P14" s="39" t="n">
        <v>0</v>
      </c>
      <c r="Q14" s="39" t="n">
        <v>0</v>
      </c>
    </row>
    <row r="15">
      <c r="A15" s="32" t="inlineStr">
        <is>
          <t>Executive Dashboard</t>
        </is>
      </c>
      <c r="B15" s="34" t="n">
        <v>9</v>
      </c>
      <c r="C15" s="32" t="inlineStr">
        <is>
          <t>Calendar</t>
        </is>
      </c>
      <c r="D15" s="34" t="n">
        <v>10</v>
      </c>
      <c r="E15" s="34" t="n">
        <v>1</v>
      </c>
      <c r="F15" s="34" t="n">
        <v>0</v>
      </c>
      <c r="G15" s="34" t="n">
        <v>0</v>
      </c>
      <c r="H15" s="34" t="n">
        <v>0</v>
      </c>
      <c r="I15" s="34" t="n">
        <v>0</v>
      </c>
      <c r="J15" s="34" t="n">
        <v>0</v>
      </c>
      <c r="K15" s="34" t="n">
        <v>0</v>
      </c>
      <c r="L15" s="34" t="n">
        <v>0</v>
      </c>
      <c r="M15" s="34" t="n">
        <v>0</v>
      </c>
      <c r="N15" s="34" t="n">
        <v>0</v>
      </c>
      <c r="O15" s="34" t="n">
        <v>0</v>
      </c>
      <c r="P15" s="34" t="n">
        <v>0</v>
      </c>
      <c r="Q15" s="34" t="n">
        <v>0</v>
      </c>
    </row>
    <row r="16">
      <c r="A16" s="37" t="inlineStr">
        <is>
          <t>Executive Dashboard</t>
        </is>
      </c>
      <c r="B16" s="39" t="n">
        <v>10</v>
      </c>
      <c r="C16" s="37" t="inlineStr">
        <is>
          <t>AR</t>
        </is>
      </c>
      <c r="D16" s="39" t="n">
        <v>20</v>
      </c>
      <c r="E16" s="39" t="n">
        <v>2</v>
      </c>
      <c r="F16" s="39" t="n">
        <v>0</v>
      </c>
      <c r="G16" s="39" t="n">
        <v>0</v>
      </c>
      <c r="H16" s="39" t="n">
        <v>0</v>
      </c>
      <c r="I16" s="39" t="n">
        <v>0</v>
      </c>
      <c r="J16" s="39" t="n">
        <v>0</v>
      </c>
      <c r="K16" s="39" t="n">
        <v>0</v>
      </c>
      <c r="L16" s="39" t="n">
        <v>0</v>
      </c>
      <c r="M16" s="39" t="n">
        <v>0</v>
      </c>
      <c r="N16" s="39" t="n">
        <v>0</v>
      </c>
      <c r="O16" s="39" t="n">
        <v>0</v>
      </c>
      <c r="P16" s="39" t="n">
        <v>0</v>
      </c>
      <c r="Q16" s="39" t="n">
        <v>0</v>
      </c>
    </row>
    <row r="17">
      <c r="A17" s="32" t="inlineStr">
        <is>
          <t>First Qlikview Report</t>
        </is>
      </c>
      <c r="B17" s="34" t="n">
        <v>1</v>
      </c>
      <c r="C17" s="32" t="inlineStr">
        <is>
          <t>Main</t>
        </is>
      </c>
      <c r="D17" s="34" t="n">
        <v>13</v>
      </c>
      <c r="E17" s="34" t="n">
        <v>1</v>
      </c>
      <c r="F17" s="34" t="n">
        <v>0</v>
      </c>
      <c r="G17" s="34" t="n">
        <v>0</v>
      </c>
      <c r="H17" s="34" t="n">
        <v>0</v>
      </c>
      <c r="I17" s="34" t="n">
        <v>0</v>
      </c>
      <c r="J17" s="34" t="n">
        <v>0</v>
      </c>
      <c r="K17" s="34" t="n">
        <v>0</v>
      </c>
      <c r="L17" s="34" t="n">
        <v>0</v>
      </c>
      <c r="M17" s="34" t="n">
        <v>0</v>
      </c>
      <c r="N17" s="34" t="n">
        <v>0</v>
      </c>
      <c r="O17" s="34" t="n">
        <v>0</v>
      </c>
      <c r="P17" s="34" t="n">
        <v>0</v>
      </c>
      <c r="Q17" s="34" t="n">
        <v>0</v>
      </c>
    </row>
    <row r="18">
      <c r="A18" s="37" t="inlineStr">
        <is>
          <t>Helpdesk Management</t>
        </is>
      </c>
      <c r="B18" s="39" t="n">
        <v>1</v>
      </c>
      <c r="C18" s="37" t="inlineStr">
        <is>
          <t>Main</t>
        </is>
      </c>
      <c r="D18" s="39" t="n">
        <v>14</v>
      </c>
      <c r="E18" s="39" t="n">
        <v>0</v>
      </c>
      <c r="F18" s="39" t="n">
        <v>0</v>
      </c>
      <c r="G18" s="39" t="n">
        <v>0</v>
      </c>
      <c r="H18" s="39" t="n">
        <v>0</v>
      </c>
      <c r="I18" s="39" t="n">
        <v>0</v>
      </c>
      <c r="J18" s="39" t="n">
        <v>0</v>
      </c>
      <c r="K18" s="39" t="n">
        <v>0</v>
      </c>
      <c r="L18" s="39" t="n">
        <v>0</v>
      </c>
      <c r="M18" s="39" t="n">
        <v>0</v>
      </c>
      <c r="N18" s="39" t="n">
        <v>0</v>
      </c>
      <c r="O18" s="39" t="n">
        <v>0</v>
      </c>
      <c r="P18" s="39" t="n">
        <v>11</v>
      </c>
      <c r="Q18" s="39" t="n">
        <v>0</v>
      </c>
    </row>
    <row r="19">
      <c r="A19" s="32" t="inlineStr">
        <is>
          <t>Helpdesk Management</t>
        </is>
      </c>
      <c r="B19" s="34" t="n">
        <v>2</v>
      </c>
      <c r="C19" s="32" t="inlineStr">
        <is>
          <t>Cases</t>
        </is>
      </c>
      <c r="D19" s="34" t="n">
        <v>61</v>
      </c>
      <c r="E19" s="34" t="n">
        <v>3</v>
      </c>
      <c r="F19" s="34" t="n">
        <v>0</v>
      </c>
      <c r="G19" s="34" t="n">
        <v>0</v>
      </c>
      <c r="H19" s="34" t="n">
        <v>0</v>
      </c>
      <c r="I19" s="34" t="n">
        <v>0</v>
      </c>
      <c r="J19" s="34" t="n">
        <v>0</v>
      </c>
      <c r="K19" s="34" t="n">
        <v>0</v>
      </c>
      <c r="L19" s="34" t="n">
        <v>0</v>
      </c>
      <c r="M19" s="34" t="n">
        <v>0</v>
      </c>
      <c r="N19" s="34" t="n">
        <v>0</v>
      </c>
      <c r="O19" s="34" t="n">
        <v>0</v>
      </c>
      <c r="P19" s="34" t="n">
        <v>0</v>
      </c>
      <c r="Q19" s="34" t="n">
        <v>0</v>
      </c>
    </row>
    <row r="20">
      <c r="A20" s="37" t="inlineStr">
        <is>
          <t>Sales Analysis</t>
        </is>
      </c>
      <c r="B20" s="39" t="n">
        <v>1</v>
      </c>
      <c r="C20" s="37" t="inlineStr">
        <is>
          <t>Main</t>
        </is>
      </c>
      <c r="D20" s="39" t="n">
        <v>20</v>
      </c>
      <c r="E20" s="39" t="n">
        <v>0</v>
      </c>
      <c r="F20" s="39" t="n">
        <v>0</v>
      </c>
      <c r="G20" s="39" t="n">
        <v>0</v>
      </c>
      <c r="H20" s="39" t="n">
        <v>0</v>
      </c>
      <c r="I20" s="39" t="n">
        <v>0</v>
      </c>
      <c r="J20" s="39" t="n">
        <v>0</v>
      </c>
      <c r="K20" s="39" t="n">
        <v>0</v>
      </c>
      <c r="L20" s="39" t="n">
        <v>0</v>
      </c>
      <c r="M20" s="39" t="n">
        <v>0</v>
      </c>
      <c r="N20" s="39" t="n">
        <v>0</v>
      </c>
      <c r="O20" s="39" t="n">
        <v>0</v>
      </c>
      <c r="P20" s="39" t="n">
        <v>17</v>
      </c>
      <c r="Q20" s="39" t="n">
        <v>0</v>
      </c>
    </row>
    <row r="21">
      <c r="A21" s="32" t="inlineStr">
        <is>
          <t>Sales Analysis</t>
        </is>
      </c>
      <c r="B21" s="34" t="n">
        <v>2</v>
      </c>
      <c r="C21" s="32" t="inlineStr">
        <is>
          <t>Sezione generata automaticamente</t>
        </is>
      </c>
      <c r="D21" s="34" t="n">
        <v>47</v>
      </c>
      <c r="E21" s="34" t="n">
        <v>4</v>
      </c>
      <c r="F21" s="34" t="n">
        <v>0</v>
      </c>
      <c r="G21" s="34" t="n">
        <v>0</v>
      </c>
      <c r="H21" s="34" t="n">
        <v>0</v>
      </c>
      <c r="I21" s="34" t="n">
        <v>0</v>
      </c>
      <c r="J21" s="34" t="n">
        <v>0</v>
      </c>
      <c r="K21" s="34" t="n">
        <v>0</v>
      </c>
      <c r="L21" s="34" t="n">
        <v>0</v>
      </c>
      <c r="M21" s="34" t="n">
        <v>0</v>
      </c>
      <c r="N21" s="34" t="n">
        <v>0</v>
      </c>
      <c r="O21" s="34" t="n">
        <v>0</v>
      </c>
      <c r="P21" s="34" t="n">
        <v>0</v>
      </c>
      <c r="Q21" s="34" t="n">
        <v>0</v>
      </c>
    </row>
    <row r="22">
      <c r="A22" s="37" t="inlineStr">
        <is>
          <t>TryConfigColorAndAgrField</t>
        </is>
      </c>
      <c r="B22" s="39" t="n">
        <v>1</v>
      </c>
      <c r="C22" s="37" t="inlineStr">
        <is>
          <t>Main</t>
        </is>
      </c>
      <c r="D22" s="39" t="n">
        <v>20</v>
      </c>
      <c r="E22" s="39" t="n">
        <v>0</v>
      </c>
      <c r="F22" s="39" t="n">
        <v>0</v>
      </c>
      <c r="G22" s="39" t="n">
        <v>0</v>
      </c>
      <c r="H22" s="39" t="n">
        <v>0</v>
      </c>
      <c r="I22" s="39" t="n">
        <v>0</v>
      </c>
      <c r="J22" s="39" t="n">
        <v>0</v>
      </c>
      <c r="K22" s="39" t="n">
        <v>0</v>
      </c>
      <c r="L22" s="39" t="n">
        <v>0</v>
      </c>
      <c r="M22" s="39" t="n">
        <v>0</v>
      </c>
      <c r="N22" s="39" t="n">
        <v>0</v>
      </c>
      <c r="O22" s="39" t="n">
        <v>0</v>
      </c>
      <c r="P22" s="39" t="n">
        <v>18</v>
      </c>
      <c r="Q22" s="39" t="n">
        <v>0</v>
      </c>
    </row>
    <row r="23">
      <c r="A23" s="32" t="inlineStr">
        <is>
          <t>TryConfigColorAndAgrField</t>
        </is>
      </c>
      <c r="B23" s="34" t="n">
        <v>2</v>
      </c>
      <c r="C23" s="32" t="inlineStr">
        <is>
          <t>Load data</t>
        </is>
      </c>
      <c r="D23" s="34" t="n">
        <v>17</v>
      </c>
      <c r="E23" s="34" t="n">
        <v>2</v>
      </c>
      <c r="F23" s="34" t="n">
        <v>0</v>
      </c>
      <c r="G23" s="34" t="n">
        <v>0</v>
      </c>
      <c r="H23" s="34" t="n">
        <v>0</v>
      </c>
      <c r="I23" s="34" t="n">
        <v>0</v>
      </c>
      <c r="J23" s="34" t="n">
        <v>0</v>
      </c>
      <c r="K23" s="34" t="n">
        <v>0</v>
      </c>
      <c r="L23" s="34" t="n">
        <v>0</v>
      </c>
      <c r="M23" s="34" t="n">
        <v>0</v>
      </c>
      <c r="N23" s="34" t="n">
        <v>0</v>
      </c>
      <c r="O23" s="34" t="n">
        <v>0</v>
      </c>
      <c r="P23" s="34" t="n">
        <v>0</v>
      </c>
      <c r="Q23" s="34" t="n">
        <v>2</v>
      </c>
    </row>
    <row r="24">
      <c r="A24" s="37" t="inlineStr">
        <is>
          <t>TryExtensions</t>
        </is>
      </c>
      <c r="B24" s="39" t="n">
        <v>1</v>
      </c>
      <c r="C24" s="37" t="inlineStr">
        <is>
          <t>Main</t>
        </is>
      </c>
      <c r="D24" s="39" t="n">
        <v>49</v>
      </c>
      <c r="E24" s="39" t="n">
        <v>4</v>
      </c>
      <c r="F24" s="39" t="n">
        <v>0</v>
      </c>
      <c r="G24" s="39" t="n">
        <v>0</v>
      </c>
      <c r="H24" s="39" t="n">
        <v>0</v>
      </c>
      <c r="I24" s="39" t="n">
        <v>0</v>
      </c>
      <c r="J24" s="39" t="n">
        <v>0</v>
      </c>
      <c r="K24" s="39" t="n">
        <v>0</v>
      </c>
      <c r="L24" s="39" t="n">
        <v>0</v>
      </c>
      <c r="M24" s="39" t="n">
        <v>0</v>
      </c>
      <c r="N24" s="39" t="n">
        <v>0</v>
      </c>
      <c r="O24" s="39" t="n">
        <v>0</v>
      </c>
      <c r="P24" s="39" t="n">
        <v>17</v>
      </c>
      <c r="Q24" s="39" t="n">
        <v>0</v>
      </c>
    </row>
    <row r="25">
      <c r="A25" s="32" t="inlineStr">
        <is>
          <t>TryExtensions</t>
        </is>
      </c>
      <c r="B25" s="34" t="n">
        <v>2</v>
      </c>
      <c r="C25" s="32" t="inlineStr">
        <is>
          <t>Initial data</t>
        </is>
      </c>
      <c r="D25" s="34" t="n">
        <v>18</v>
      </c>
      <c r="E25" s="34" t="n">
        <v>1</v>
      </c>
      <c r="F25" s="34" t="n">
        <v>0</v>
      </c>
      <c r="G25" s="34" t="n">
        <v>0</v>
      </c>
      <c r="H25" s="34" t="n">
        <v>0</v>
      </c>
      <c r="I25" s="34" t="n">
        <v>0</v>
      </c>
      <c r="J25" s="34" t="n">
        <v>0</v>
      </c>
      <c r="K25" s="34" t="n">
        <v>0</v>
      </c>
      <c r="L25" s="34" t="n">
        <v>0</v>
      </c>
      <c r="M25" s="34" t="n">
        <v>0</v>
      </c>
      <c r="N25" s="34" t="n">
        <v>0</v>
      </c>
      <c r="O25" s="34" t="n">
        <v>0</v>
      </c>
      <c r="P25" s="34" t="n">
        <v>0</v>
      </c>
      <c r="Q25" s="34" t="n">
        <v>1</v>
      </c>
    </row>
    <row r="26">
      <c r="A26" s="37" t="inlineStr">
        <is>
          <t>Tutorial creazione nuova app</t>
        </is>
      </c>
      <c r="B26" s="39" t="n">
        <v>1</v>
      </c>
      <c r="C26" s="37" t="inlineStr">
        <is>
          <t>Main</t>
        </is>
      </c>
      <c r="D26" s="39" t="n">
        <v>14</v>
      </c>
      <c r="E26" s="39" t="n">
        <v>0</v>
      </c>
      <c r="F26" s="39" t="n">
        <v>0</v>
      </c>
      <c r="G26" s="39" t="n">
        <v>0</v>
      </c>
      <c r="H26" s="39" t="n">
        <v>0</v>
      </c>
      <c r="I26" s="39" t="n">
        <v>0</v>
      </c>
      <c r="J26" s="39" t="n">
        <v>0</v>
      </c>
      <c r="K26" s="39" t="n">
        <v>0</v>
      </c>
      <c r="L26" s="39" t="n">
        <v>0</v>
      </c>
      <c r="M26" s="39" t="n">
        <v>0</v>
      </c>
      <c r="N26" s="39" t="n">
        <v>0</v>
      </c>
      <c r="O26" s="39" t="n">
        <v>0</v>
      </c>
      <c r="P26" s="39" t="n">
        <v>10</v>
      </c>
      <c r="Q26" s="39" t="n">
        <v>0</v>
      </c>
    </row>
    <row r="27">
      <c r="A27" s="32" t="inlineStr">
        <is>
          <t>Tutorial creazione nuova app</t>
        </is>
      </c>
      <c r="B27" s="34" t="n">
        <v>2</v>
      </c>
      <c r="C27" s="32" t="inlineStr">
        <is>
          <t>Sezione generata automaticamente</t>
        </is>
      </c>
      <c r="D27" s="34" t="n">
        <v>60</v>
      </c>
      <c r="E27" s="34" t="n">
        <v>5</v>
      </c>
      <c r="F27" s="34" t="n">
        <v>0</v>
      </c>
      <c r="G27" s="34" t="n">
        <v>0</v>
      </c>
      <c r="H27" s="34" t="n">
        <v>0</v>
      </c>
      <c r="I27" s="34" t="n">
        <v>0</v>
      </c>
      <c r="J27" s="34" t="n">
        <v>0</v>
      </c>
      <c r="K27" s="34" t="n">
        <v>0</v>
      </c>
      <c r="L27" s="34" t="n">
        <v>0</v>
      </c>
      <c r="M27" s="34" t="n">
        <v>0</v>
      </c>
      <c r="N27" s="34" t="n">
        <v>0</v>
      </c>
      <c r="O27" s="34" t="n">
        <v>0</v>
      </c>
      <c r="P27" s="34" t="n">
        <v>0</v>
      </c>
      <c r="Q27" s="34" t="n">
        <v>0</v>
      </c>
    </row>
    <row r="28">
      <c r="A28" s="37" t="inlineStr">
        <is>
          <t>Tutorial creazione nuova app</t>
        </is>
      </c>
      <c r="B28" s="39" t="n">
        <v>3</v>
      </c>
      <c r="C28" s="37" t="inlineStr">
        <is>
          <t>Master calendar</t>
        </is>
      </c>
      <c r="D28" s="39" t="n">
        <v>25</v>
      </c>
      <c r="E28" s="39" t="n">
        <v>2</v>
      </c>
      <c r="F28" s="39" t="n">
        <v>0</v>
      </c>
      <c r="G28" s="39" t="n">
        <v>0</v>
      </c>
      <c r="H28" s="39" t="n">
        <v>1</v>
      </c>
      <c r="I28" s="39" t="n">
        <v>0</v>
      </c>
      <c r="J28" s="39" t="n">
        <v>0</v>
      </c>
      <c r="K28" s="39" t="n">
        <v>0</v>
      </c>
      <c r="L28" s="39" t="n">
        <v>0</v>
      </c>
      <c r="M28" s="39" t="n">
        <v>0</v>
      </c>
      <c r="N28" s="39" t="n">
        <v>0</v>
      </c>
      <c r="O28" s="39" t="n">
        <v>0</v>
      </c>
      <c r="P28" s="39" t="n">
        <v>2</v>
      </c>
      <c r="Q28" s="39" t="n">
        <v>0</v>
      </c>
    </row>
    <row r="29">
      <c r="A29" s="32" t="inlineStr">
        <is>
          <t>Tutorial creazione script</t>
        </is>
      </c>
      <c r="B29" s="34" t="n">
        <v>1</v>
      </c>
      <c r="C29" s="32" t="inlineStr">
        <is>
          <t>Main</t>
        </is>
      </c>
      <c r="D29" s="34" t="n">
        <v>20</v>
      </c>
      <c r="E29" s="34" t="n">
        <v>0</v>
      </c>
      <c r="F29" s="34" t="n">
        <v>0</v>
      </c>
      <c r="G29" s="34" t="n">
        <v>0</v>
      </c>
      <c r="H29" s="34" t="n">
        <v>0</v>
      </c>
      <c r="I29" s="34" t="n">
        <v>0</v>
      </c>
      <c r="J29" s="34" t="n">
        <v>0</v>
      </c>
      <c r="K29" s="34" t="n">
        <v>0</v>
      </c>
      <c r="L29" s="34" t="n">
        <v>0</v>
      </c>
      <c r="M29" s="34" t="n">
        <v>0</v>
      </c>
      <c r="N29" s="34" t="n">
        <v>0</v>
      </c>
      <c r="O29" s="34" t="n">
        <v>0</v>
      </c>
      <c r="P29" s="34" t="n">
        <v>17</v>
      </c>
      <c r="Q29" s="34" t="n">
        <v>0</v>
      </c>
    </row>
    <row r="30">
      <c r="A30" s="37" t="inlineStr">
        <is>
          <t>Tutorial creazione script</t>
        </is>
      </c>
      <c r="B30" s="39" t="n">
        <v>2</v>
      </c>
      <c r="C30" s="37" t="inlineStr">
        <is>
          <t>Dati</t>
        </is>
      </c>
      <c r="D30" s="39" t="n">
        <v>33</v>
      </c>
      <c r="E30" s="39" t="n">
        <v>4</v>
      </c>
      <c r="F30" s="39" t="n">
        <v>0</v>
      </c>
      <c r="G30" s="39" t="n">
        <v>0</v>
      </c>
      <c r="H30" s="39" t="n">
        <v>0</v>
      </c>
      <c r="I30" s="39" t="n">
        <v>0</v>
      </c>
      <c r="J30" s="39" t="n">
        <v>0</v>
      </c>
      <c r="K30" s="39" t="n">
        <v>0</v>
      </c>
      <c r="L30" s="39" t="n">
        <v>0</v>
      </c>
      <c r="M30" s="39" t="n">
        <v>0</v>
      </c>
      <c r="N30" s="39" t="n">
        <v>0</v>
      </c>
      <c r="O30" s="39" t="n">
        <v>0</v>
      </c>
      <c r="P30" s="39" t="n">
        <v>0</v>
      </c>
      <c r="Q30" s="39" t="n">
        <v>0</v>
      </c>
    </row>
  </sheetData>
  <autoFilter ref="A6:Q30"/>
  <mergeCells count="1">
    <mergeCell ref="D2:M3"/>
  </mergeCells>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tabColor rgb="002C4650"/>
    <outlinePr summaryBelow="1" summaryRight="1"/>
    <pageSetUpPr fitToPage="1"/>
  </sheetPr>
  <dimension ref="A2:G47"/>
  <sheetViews>
    <sheetView showGridLines="0" workbookViewId="0">
      <pane ySplit="6" topLeftCell="A7" activePane="bottomLeft" state="frozen"/>
      <selection pane="bottomLeft" activeCell="A1" sqref="A1"/>
    </sheetView>
  </sheetViews>
  <sheetFormatPr baseColWidth="8" defaultRowHeight="15"/>
  <cols>
    <col width="26" customWidth="1" min="1" max="1"/>
    <col width="28" customWidth="1" min="2" max="2"/>
    <col width="22" customWidth="1" min="3" max="3"/>
    <col width="70" customWidth="1" min="4" max="4"/>
    <col width="30" customWidth="1" min="5" max="5"/>
    <col width="11" customWidth="1" min="6" max="6"/>
    <col width="12" customWidth="1" min="7" max="7"/>
  </cols>
  <sheetData>
    <row r="1" ht="24" customHeight="1"/>
    <row r="2" ht="24" customHeight="1">
      <c r="C2" s="1" t="inlineStr">
        <is>
          <t>Data sources  ·  what the load scripts read and write</t>
        </is>
      </c>
    </row>
    <row r="3" ht="20" customHeight="1"/>
    <row r="4" ht="10" customHeight="1"/>
    <row r="5" ht="18" customHeight="1">
      <c r="A5" s="29">
        <f>HYPERLINK("#'Discovery'!A1","«  Back to Discovery")</f>
        <v/>
      </c>
      <c r="B5" s="30" t="inlineStr">
        <is>
          <t>Every connection, SQL query, file, resident and inline load and STORE in every script.</t>
        </is>
      </c>
    </row>
    <row r="6" ht="30" customHeight="1">
      <c r="A6" s="31" t="inlineStr">
        <is>
          <t>App</t>
        </is>
      </c>
      <c r="B6" s="31" t="inlineStr">
        <is>
          <t>Tab</t>
        </is>
      </c>
      <c r="C6" s="31" t="inlineStr">
        <is>
          <t>Source type</t>
        </is>
      </c>
      <c r="D6" s="31" t="inlineStr">
        <is>
          <t>Source / target</t>
        </is>
      </c>
      <c r="E6" s="31" t="inlineStr">
        <is>
          <t>Loaded into table</t>
        </is>
      </c>
      <c r="F6" s="31" t="inlineStr">
        <is>
          <t>Distinct in app</t>
        </is>
      </c>
      <c r="G6" s="31" t="inlineStr">
        <is>
          <t>Distinct in portfolio</t>
        </is>
      </c>
    </row>
    <row r="7">
      <c r="A7" s="32" t="inlineStr">
        <is>
          <t>Executive Dashboard</t>
        </is>
      </c>
      <c r="B7" s="32" t="inlineStr">
        <is>
          <t>Main</t>
        </is>
      </c>
      <c r="C7" s="32" t="inlineStr">
        <is>
          <t>QVD file</t>
        </is>
      </c>
      <c r="D7" s="42" t="inlineStr">
        <is>
          <t>lib://Executive Dashboard Data/AccountGroupMaster.qvd</t>
        </is>
      </c>
      <c r="E7" s="32" t="inlineStr"/>
      <c r="F7" s="34">
        <f>IF(AND(C7&lt;&gt;"Resident table",C7&lt;&gt;"STORE output",COUNTIFS(A$7:A7,A7,D$7:D7,D7)=1),1,0)</f>
        <v/>
      </c>
      <c r="G7" s="34">
        <f>IF(AND(C7&lt;&gt;"Resident table",C7&lt;&gt;"STORE output",COUNTIF(D$7:D7,D7)=1),1,0)</f>
        <v/>
      </c>
    </row>
    <row r="8">
      <c r="A8" s="37" t="inlineStr">
        <is>
          <t>Executive Dashboard</t>
        </is>
      </c>
      <c r="B8" s="37" t="inlineStr">
        <is>
          <t>Account</t>
        </is>
      </c>
      <c r="C8" s="37" t="inlineStr">
        <is>
          <t>QVD file</t>
        </is>
      </c>
      <c r="D8" s="43" t="inlineStr">
        <is>
          <t>lib://Executive Dashboard Data/AccountGroupMaster.qvd</t>
        </is>
      </c>
      <c r="E8" s="37" t="inlineStr">
        <is>
          <t>AccountGroupMaster</t>
        </is>
      </c>
      <c r="F8" s="39">
        <f>IF(AND(C8&lt;&gt;"Resident table",C8&lt;&gt;"STORE output",COUNTIFS(A$7:A8,A8,D$7:D8,D8)=1),1,0)</f>
        <v/>
      </c>
      <c r="G8" s="39">
        <f>IF(AND(C8&lt;&gt;"Resident table",C8&lt;&gt;"STORE output",COUNTIF(D$7:D8,D8)=1),1,0)</f>
        <v/>
      </c>
    </row>
    <row r="9">
      <c r="A9" s="32" t="inlineStr">
        <is>
          <t>Executive Dashboard</t>
        </is>
      </c>
      <c r="B9" s="32" t="inlineStr">
        <is>
          <t>Account</t>
        </is>
      </c>
      <c r="C9" s="32" t="inlineStr">
        <is>
          <t>QVD file</t>
        </is>
      </c>
      <c r="D9" s="42" t="inlineStr">
        <is>
          <t>lib://Executive Dashboard Data/AccountGroupMaster.qvd</t>
        </is>
      </c>
      <c r="E9" s="32" t="inlineStr"/>
      <c r="F9" s="34">
        <f>IF(AND(C9&lt;&gt;"Resident table",C9&lt;&gt;"STORE output",COUNTIFS(A$7:A9,A9,D$7:D9,D9)=1),1,0)</f>
        <v/>
      </c>
      <c r="G9" s="34">
        <f>IF(AND(C9&lt;&gt;"Resident table",C9&lt;&gt;"STORE output",COUNTIF(D$7:D9,D9)=1),1,0)</f>
        <v/>
      </c>
    </row>
    <row r="10">
      <c r="A10" s="37" t="inlineStr">
        <is>
          <t>Executive Dashboard</t>
        </is>
      </c>
      <c r="B10" s="37" t="inlineStr">
        <is>
          <t>Account</t>
        </is>
      </c>
      <c r="C10" s="37" t="inlineStr">
        <is>
          <t>QVD file</t>
        </is>
      </c>
      <c r="D10" s="43" t="inlineStr">
        <is>
          <t>lib://Executive Dashboard Data/AccountMaster.qvd</t>
        </is>
      </c>
      <c r="E10" s="37" t="inlineStr">
        <is>
          <t>AccountMaster</t>
        </is>
      </c>
      <c r="F10" s="39">
        <f>IF(AND(C10&lt;&gt;"Resident table",C10&lt;&gt;"STORE output",COUNTIFS(A$7:A10,A10,D$7:D10,D10)=1),1,0)</f>
        <v/>
      </c>
      <c r="G10" s="39">
        <f>IF(AND(C10&lt;&gt;"Resident table",C10&lt;&gt;"STORE output",COUNTIF(D$7:D10,D10)=1),1,0)</f>
        <v/>
      </c>
    </row>
    <row r="11">
      <c r="A11" s="32" t="inlineStr">
        <is>
          <t>Executive Dashboard</t>
        </is>
      </c>
      <c r="B11" s="32" t="inlineStr">
        <is>
          <t>Budget</t>
        </is>
      </c>
      <c r="C11" s="32" t="inlineStr">
        <is>
          <t>Excel file</t>
        </is>
      </c>
      <c r="D11" s="42" t="inlineStr">
        <is>
          <t>lib://Executive Dashboard Data/RegionalSales.xlsx</t>
        </is>
      </c>
      <c r="E11" s="32" t="inlineStr">
        <is>
          <t>Budget</t>
        </is>
      </c>
      <c r="F11" s="34">
        <f>IF(AND(C11&lt;&gt;"Resident table",C11&lt;&gt;"STORE output",COUNTIFS(A$7:A11,A11,D$7:D11,D11)=1),1,0)</f>
        <v/>
      </c>
      <c r="G11" s="34">
        <f>IF(AND(C11&lt;&gt;"Resident table",C11&lt;&gt;"STORE output",COUNTIF(D$7:D11,D11)=1),1,0)</f>
        <v/>
      </c>
    </row>
    <row r="12">
      <c r="A12" s="37" t="inlineStr">
        <is>
          <t>Executive Dashboard</t>
        </is>
      </c>
      <c r="B12" s="37" t="inlineStr">
        <is>
          <t>Inventory</t>
        </is>
      </c>
      <c r="C12" s="37" t="inlineStr">
        <is>
          <t>QVD file</t>
        </is>
      </c>
      <c r="D12" s="43" t="inlineStr">
        <is>
          <t>lib://Executive Dashboard Data/InventoryBalances.qvd</t>
        </is>
      </c>
      <c r="E12" s="37" t="inlineStr">
        <is>
          <t>InventoryBalances</t>
        </is>
      </c>
      <c r="F12" s="39">
        <f>IF(AND(C12&lt;&gt;"Resident table",C12&lt;&gt;"STORE output",COUNTIFS(A$7:A12,A12,D$7:D12,D12)=1),1,0)</f>
        <v/>
      </c>
      <c r="G12" s="39">
        <f>IF(AND(C12&lt;&gt;"Resident table",C12&lt;&gt;"STORE output",COUNTIF(D$7:D12,D12)=1),1,0)</f>
        <v/>
      </c>
    </row>
    <row r="13">
      <c r="A13" s="32" t="inlineStr">
        <is>
          <t>Executive Dashboard</t>
        </is>
      </c>
      <c r="B13" s="32" t="inlineStr">
        <is>
          <t>Product</t>
        </is>
      </c>
      <c r="C13" s="32" t="inlineStr">
        <is>
          <t>QVD file</t>
        </is>
      </c>
      <c r="D13" s="42" t="inlineStr">
        <is>
          <t>lib://Executive Dashboard Data/ItemMaster.qvd</t>
        </is>
      </c>
      <c r="E13" s="32" t="inlineStr">
        <is>
          <t>ItemMaster</t>
        </is>
      </c>
      <c r="F13" s="34">
        <f>IF(AND(C13&lt;&gt;"Resident table",C13&lt;&gt;"STORE output",COUNTIFS(A$7:A13,A13,D$7:D13,D13)=1),1,0)</f>
        <v/>
      </c>
      <c r="G13" s="34">
        <f>IF(AND(C13&lt;&gt;"Resident table",C13&lt;&gt;"STORE output",COUNTIF(D$7:D13,D13)=1),1,0)</f>
        <v/>
      </c>
    </row>
    <row r="14">
      <c r="A14" s="37" t="inlineStr">
        <is>
          <t>Executive Dashboard</t>
        </is>
      </c>
      <c r="B14" s="37" t="inlineStr">
        <is>
          <t>Product</t>
        </is>
      </c>
      <c r="C14" s="37" t="inlineStr">
        <is>
          <t>QVD file</t>
        </is>
      </c>
      <c r="D14" s="43" t="inlineStr">
        <is>
          <t>lib://Executive Dashboard Data/ProductSubGroupMaster.qvd</t>
        </is>
      </c>
      <c r="E14" s="37" t="inlineStr">
        <is>
          <t>ProductSubGroupMaster</t>
        </is>
      </c>
      <c r="F14" s="39">
        <f>IF(AND(C14&lt;&gt;"Resident table",C14&lt;&gt;"STORE output",COUNTIFS(A$7:A14,A14,D$7:D14,D14)=1),1,0)</f>
        <v/>
      </c>
      <c r="G14" s="39">
        <f>IF(AND(C14&lt;&gt;"Resident table",C14&lt;&gt;"STORE output",COUNTIF(D$7:D14,D14)=1),1,0)</f>
        <v/>
      </c>
    </row>
    <row r="15">
      <c r="A15" s="32" t="inlineStr">
        <is>
          <t>Executive Dashboard</t>
        </is>
      </c>
      <c r="B15" s="32" t="inlineStr">
        <is>
          <t>Product</t>
        </is>
      </c>
      <c r="C15" s="32" t="inlineStr">
        <is>
          <t>QVD file</t>
        </is>
      </c>
      <c r="D15" s="42" t="inlineStr">
        <is>
          <t>lib://Executive Dashboard Data/ProductTypeMaster.qvd</t>
        </is>
      </c>
      <c r="E15" s="32" t="inlineStr">
        <is>
          <t>ProductTypeMaster</t>
        </is>
      </c>
      <c r="F15" s="34">
        <f>IF(AND(C15&lt;&gt;"Resident table",C15&lt;&gt;"STORE output",COUNTIFS(A$7:A15,A15,D$7:D15,D15)=1),1,0)</f>
        <v/>
      </c>
      <c r="G15" s="34">
        <f>IF(AND(C15&lt;&gt;"Resident table",C15&lt;&gt;"STORE output",COUNTIF(D$7:D15,D15)=1),1,0)</f>
        <v/>
      </c>
    </row>
    <row r="16">
      <c r="A16" s="37" t="inlineStr">
        <is>
          <t>Executive Dashboard</t>
        </is>
      </c>
      <c r="B16" s="37" t="inlineStr">
        <is>
          <t>Product</t>
        </is>
      </c>
      <c r="C16" s="37" t="inlineStr">
        <is>
          <t>QVD file</t>
        </is>
      </c>
      <c r="D16" s="43" t="inlineStr">
        <is>
          <t>lib://Executive Dashboard Data/ProductGroupMaster.qvd</t>
        </is>
      </c>
      <c r="E16" s="37" t="inlineStr">
        <is>
          <t>ProductGroupMaster</t>
        </is>
      </c>
      <c r="F16" s="39">
        <f>IF(AND(C16&lt;&gt;"Resident table",C16&lt;&gt;"STORE output",COUNTIFS(A$7:A16,A16,D$7:D16,D16)=1),1,0)</f>
        <v/>
      </c>
      <c r="G16" s="39">
        <f>IF(AND(C16&lt;&gt;"Resident table",C16&lt;&gt;"STORE output",COUNTIF(D$7:D16,D16)=1),1,0)</f>
        <v/>
      </c>
    </row>
    <row r="17">
      <c r="A17" s="32" t="inlineStr">
        <is>
          <t>Executive Dashboard</t>
        </is>
      </c>
      <c r="B17" s="32" t="inlineStr">
        <is>
          <t>Product</t>
        </is>
      </c>
      <c r="C17" s="32" t="inlineStr">
        <is>
          <t>QVD file</t>
        </is>
      </c>
      <c r="D17" s="42" t="inlineStr">
        <is>
          <t>lib://Executive Dashboard Data/ItemBranchMaster.qvd</t>
        </is>
      </c>
      <c r="E17" s="32" t="inlineStr">
        <is>
          <t>ItemBranchMaster</t>
        </is>
      </c>
      <c r="F17" s="34">
        <f>IF(AND(C17&lt;&gt;"Resident table",C17&lt;&gt;"STORE output",COUNTIFS(A$7:A17,A17,D$7:D17,D17)=1),1,0)</f>
        <v/>
      </c>
      <c r="G17" s="34">
        <f>IF(AND(C17&lt;&gt;"Resident table",C17&lt;&gt;"STORE output",COUNTIF(D$7:D17,D17)=1),1,0)</f>
        <v/>
      </c>
    </row>
    <row r="18">
      <c r="A18" s="37" t="inlineStr">
        <is>
          <t>Executive Dashboard</t>
        </is>
      </c>
      <c r="B18" s="37" t="inlineStr">
        <is>
          <t>Sales Rep</t>
        </is>
      </c>
      <c r="C18" s="37" t="inlineStr">
        <is>
          <t>QVD file</t>
        </is>
      </c>
      <c r="D18" s="43" t="inlineStr">
        <is>
          <t>lib://Executive Dashboard Data/SalesRepMaster.qvd</t>
        </is>
      </c>
      <c r="E18" s="37" t="inlineStr">
        <is>
          <t>SalesRepMaster</t>
        </is>
      </c>
      <c r="F18" s="39">
        <f>IF(AND(C18&lt;&gt;"Resident table",C18&lt;&gt;"STORE output",COUNTIFS(A$7:A18,A18,D$7:D18,D18)=1),1,0)</f>
        <v/>
      </c>
      <c r="G18" s="39">
        <f>IF(AND(C18&lt;&gt;"Resident table",C18&lt;&gt;"STORE output",COUNTIF(D$7:D18,D18)=1),1,0)</f>
        <v/>
      </c>
    </row>
    <row r="19">
      <c r="A19" s="32" t="inlineStr">
        <is>
          <t>Executive Dashboard</t>
        </is>
      </c>
      <c r="B19" s="32" t="inlineStr">
        <is>
          <t>FactTable</t>
        </is>
      </c>
      <c r="C19" s="32" t="inlineStr">
        <is>
          <t>QVD file</t>
        </is>
      </c>
      <c r="D19" s="42" t="inlineStr">
        <is>
          <t>lib://Executive Dashboard Data/FactTable.qvd</t>
        </is>
      </c>
      <c r="E19" s="32" t="inlineStr">
        <is>
          <t>FactTable</t>
        </is>
      </c>
      <c r="F19" s="34">
        <f>IF(AND(C19&lt;&gt;"Resident table",C19&lt;&gt;"STORE output",COUNTIFS(A$7:A19,A19,D$7:D19,D19)=1),1,0)</f>
        <v/>
      </c>
      <c r="G19" s="34">
        <f>IF(AND(C19&lt;&gt;"Resident table",C19&lt;&gt;"STORE output",COUNTIF(D$7:D19,D19)=1),1,0)</f>
        <v/>
      </c>
    </row>
    <row r="20">
      <c r="A20" s="37" t="inlineStr">
        <is>
          <t>Executive Dashboard</t>
        </is>
      </c>
      <c r="B20" s="37" t="inlineStr">
        <is>
          <t>FactTable</t>
        </is>
      </c>
      <c r="C20" s="37" t="inlineStr">
        <is>
          <t>Excel file</t>
        </is>
      </c>
      <c r="D20" s="43" t="inlineStr">
        <is>
          <t>lib://Executive Dashboard Data/Expenses.xls</t>
        </is>
      </c>
      <c r="E20" s="37" t="inlineStr">
        <is>
          <t>Expenses</t>
        </is>
      </c>
      <c r="F20" s="39">
        <f>IF(AND(C20&lt;&gt;"Resident table",C20&lt;&gt;"STORE output",COUNTIFS(A$7:A20,A20,D$7:D20,D20)=1),1,0)</f>
        <v/>
      </c>
      <c r="G20" s="39">
        <f>IF(AND(C20&lt;&gt;"Resident table",C20&lt;&gt;"STORE output",COUNTIF(D$7:D20,D20)=1),1,0)</f>
        <v/>
      </c>
    </row>
    <row r="21">
      <c r="A21" s="32" t="inlineStr">
        <is>
          <t>Executive Dashboard</t>
        </is>
      </c>
      <c r="B21" s="32" t="inlineStr">
        <is>
          <t>FactTable</t>
        </is>
      </c>
      <c r="C21" s="32" t="inlineStr">
        <is>
          <t>Resident table</t>
        </is>
      </c>
      <c r="D21" s="42" t="inlineStr">
        <is>
          <t>Expenses</t>
        </is>
      </c>
      <c r="E21" s="32" t="inlineStr"/>
      <c r="F21" s="34">
        <f>IF(AND(C21&lt;&gt;"Resident table",C21&lt;&gt;"STORE output",COUNTIFS(A$7:A21,A21,D$7:D21,D21)=1),1,0)</f>
        <v/>
      </c>
      <c r="G21" s="34">
        <f>IF(AND(C21&lt;&gt;"Resident table",C21&lt;&gt;"STORE output",COUNTIF(D$7:D21,D21)=1),1,0)</f>
        <v/>
      </c>
    </row>
    <row r="22">
      <c r="A22" s="37" t="inlineStr">
        <is>
          <t>Executive Dashboard</t>
        </is>
      </c>
      <c r="B22" s="37" t="inlineStr">
        <is>
          <t>FactTable</t>
        </is>
      </c>
      <c r="C22" s="37" t="inlineStr">
        <is>
          <t>Resident table</t>
        </is>
      </c>
      <c r="D22" s="43" t="inlineStr">
        <is>
          <t>FactTable</t>
        </is>
      </c>
      <c r="E22" s="37" t="inlineStr">
        <is>
          <t>HistoryFlag</t>
        </is>
      </c>
      <c r="F22" s="39">
        <f>IF(AND(C22&lt;&gt;"Resident table",C22&lt;&gt;"STORE output",COUNTIFS(A$7:A22,A22,D$7:D22,D22)=1),1,0)</f>
        <v/>
      </c>
      <c r="G22" s="39">
        <f>IF(AND(C22&lt;&gt;"Resident table",C22&lt;&gt;"STORE output",COUNTIF(D$7:D22,D22)=1),1,0)</f>
        <v/>
      </c>
    </row>
    <row r="23">
      <c r="A23" s="32" t="inlineStr">
        <is>
          <t>Executive Dashboard</t>
        </is>
      </c>
      <c r="B23" s="32" t="inlineStr">
        <is>
          <t>FactTable</t>
        </is>
      </c>
      <c r="C23" s="32" t="inlineStr">
        <is>
          <t>Excel file</t>
        </is>
      </c>
      <c r="D23" s="42" t="inlineStr">
        <is>
          <t>lib://Executive Dashboard Data/ExpenseAccounts.xls</t>
        </is>
      </c>
      <c r="E23" s="32" t="inlineStr">
        <is>
          <t>Accounts</t>
        </is>
      </c>
      <c r="F23" s="34">
        <f>IF(AND(C23&lt;&gt;"Resident table",C23&lt;&gt;"STORE output",COUNTIFS(A$7:A23,A23,D$7:D23,D23)=1),1,0)</f>
        <v/>
      </c>
      <c r="G23" s="34">
        <f>IF(AND(C23&lt;&gt;"Resident table",C23&lt;&gt;"STORE output",COUNTIF(D$7:D23,D23)=1),1,0)</f>
        <v/>
      </c>
    </row>
    <row r="24">
      <c r="A24" s="37" t="inlineStr">
        <is>
          <t>Executive Dashboard</t>
        </is>
      </c>
      <c r="B24" s="37" t="inlineStr">
        <is>
          <t>Customer</t>
        </is>
      </c>
      <c r="C24" s="37" t="inlineStr">
        <is>
          <t>QVD file</t>
        </is>
      </c>
      <c r="D24" s="43" t="inlineStr">
        <is>
          <t>lib://Executive Dashboard Data/CustomerAddressMaster.qvd</t>
        </is>
      </c>
      <c r="E24" s="37" t="inlineStr">
        <is>
          <t>CustomerAddressMaster</t>
        </is>
      </c>
      <c r="F24" s="39">
        <f>IF(AND(C24&lt;&gt;"Resident table",C24&lt;&gt;"STORE output",COUNTIFS(A$7:A24,A24,D$7:D24,D24)=1),1,0)</f>
        <v/>
      </c>
      <c r="G24" s="39">
        <f>IF(AND(C24&lt;&gt;"Resident table",C24&lt;&gt;"STORE output",COUNTIF(D$7:D24,D24)=1),1,0)</f>
        <v/>
      </c>
    </row>
    <row r="25">
      <c r="A25" s="32" t="inlineStr">
        <is>
          <t>Executive Dashboard</t>
        </is>
      </c>
      <c r="B25" s="32" t="inlineStr">
        <is>
          <t>Customer</t>
        </is>
      </c>
      <c r="C25" s="32" t="inlineStr">
        <is>
          <t>QVD file</t>
        </is>
      </c>
      <c r="D25" s="42" t="inlineStr">
        <is>
          <t>lib://Executive Dashboard Data/CustomerMap.qvd</t>
        </is>
      </c>
      <c r="E25" s="32" t="inlineStr">
        <is>
          <t>CustomerMap</t>
        </is>
      </c>
      <c r="F25" s="34">
        <f>IF(AND(C25&lt;&gt;"Resident table",C25&lt;&gt;"STORE output",COUNTIFS(A$7:A25,A25,D$7:D25,D25)=1),1,0)</f>
        <v/>
      </c>
      <c r="G25" s="34">
        <f>IF(AND(C25&lt;&gt;"Resident table",C25&lt;&gt;"STORE output",COUNTIF(D$7:D25,D25)=1),1,0)</f>
        <v/>
      </c>
    </row>
    <row r="26">
      <c r="A26" s="37" t="inlineStr">
        <is>
          <t>Executive Dashboard</t>
        </is>
      </c>
      <c r="B26" s="37" t="inlineStr">
        <is>
          <t>Customer</t>
        </is>
      </c>
      <c r="C26" s="37" t="inlineStr">
        <is>
          <t>QVD file</t>
        </is>
      </c>
      <c r="D26" s="43" t="inlineStr">
        <is>
          <t>lib://Executive Dashboard Data/CustomerMaster.qvd</t>
        </is>
      </c>
      <c r="E26" s="37" t="inlineStr">
        <is>
          <t>CustomerMaster</t>
        </is>
      </c>
      <c r="F26" s="39">
        <f>IF(AND(C26&lt;&gt;"Resident table",C26&lt;&gt;"STORE output",COUNTIFS(A$7:A26,A26,D$7:D26,D26)=1),1,0)</f>
        <v/>
      </c>
      <c r="G26" s="39">
        <f>IF(AND(C26&lt;&gt;"Resident table",C26&lt;&gt;"STORE output",COUNTIF(D$7:D26,D26)=1),1,0)</f>
        <v/>
      </c>
    </row>
    <row r="27">
      <c r="A27" s="32" t="inlineStr">
        <is>
          <t>Executive Dashboard</t>
        </is>
      </c>
      <c r="B27" s="32" t="inlineStr">
        <is>
          <t>Customer</t>
        </is>
      </c>
      <c r="C27" s="32" t="inlineStr">
        <is>
          <t>QVD file</t>
        </is>
      </c>
      <c r="D27" s="42" t="inlineStr">
        <is>
          <t>lib://Executive Dashboard Data/ChannelMaster.qvd</t>
        </is>
      </c>
      <c r="E27" s="32" t="inlineStr">
        <is>
          <t>ChannelMaster</t>
        </is>
      </c>
      <c r="F27" s="34">
        <f>IF(AND(C27&lt;&gt;"Resident table",C27&lt;&gt;"STORE output",COUNTIFS(A$7:A27,A27,D$7:D27,D27)=1),1,0)</f>
        <v/>
      </c>
      <c r="G27" s="34">
        <f>IF(AND(C27&lt;&gt;"Resident table",C27&lt;&gt;"STORE output",COUNTIF(D$7:D27,D27)=1),1,0)</f>
        <v/>
      </c>
    </row>
    <row r="28">
      <c r="A28" s="37" t="inlineStr">
        <is>
          <t>Executive Dashboard</t>
        </is>
      </c>
      <c r="B28" s="37" t="inlineStr">
        <is>
          <t>Calendar</t>
        </is>
      </c>
      <c r="C28" s="37" t="inlineStr">
        <is>
          <t>QVD file</t>
        </is>
      </c>
      <c r="D28" s="43" t="inlineStr">
        <is>
          <t>lib://Executive Dashboard Data/Calendar.qvd</t>
        </is>
      </c>
      <c r="E28" s="37" t="inlineStr">
        <is>
          <t>Calendar</t>
        </is>
      </c>
      <c r="F28" s="39">
        <f>IF(AND(C28&lt;&gt;"Resident table",C28&lt;&gt;"STORE output",COUNTIFS(A$7:A28,A28,D$7:D28,D28)=1),1,0)</f>
        <v/>
      </c>
      <c r="G28" s="39">
        <f>IF(AND(C28&lt;&gt;"Resident table",C28&lt;&gt;"STORE output",COUNTIF(D$7:D28,D28)=1),1,0)</f>
        <v/>
      </c>
    </row>
    <row r="29">
      <c r="A29" s="32" t="inlineStr">
        <is>
          <t>Executive Dashboard</t>
        </is>
      </c>
      <c r="B29" s="32" t="inlineStr">
        <is>
          <t>AR</t>
        </is>
      </c>
      <c r="C29" s="32" t="inlineStr">
        <is>
          <t>QVD file</t>
        </is>
      </c>
      <c r="D29" s="42" t="inlineStr">
        <is>
          <t>lib://Executive Dashboard Data/ARSummary.qvd</t>
        </is>
      </c>
      <c r="E29" s="32" t="inlineStr">
        <is>
          <t>ARSummary</t>
        </is>
      </c>
      <c r="F29" s="34">
        <f>IF(AND(C29&lt;&gt;"Resident table",C29&lt;&gt;"STORE output",COUNTIFS(A$7:A29,A29,D$7:D29,D29)=1),1,0)</f>
        <v/>
      </c>
      <c r="G29" s="34">
        <f>IF(AND(C29&lt;&gt;"Resident table",C29&lt;&gt;"STORE output",COUNTIF(D$7:D29,D29)=1),1,0)</f>
        <v/>
      </c>
    </row>
    <row r="30">
      <c r="A30" s="37" t="inlineStr">
        <is>
          <t>Executive Dashboard</t>
        </is>
      </c>
      <c r="B30" s="37" t="inlineStr">
        <is>
          <t>AR</t>
        </is>
      </c>
      <c r="C30" s="37" t="inlineStr">
        <is>
          <t>QVD file</t>
        </is>
      </c>
      <c r="D30" s="43" t="inlineStr">
        <is>
          <t>lib://Executive Dashboard Data/ARSummary-1.qvd</t>
        </is>
      </c>
      <c r="E30" s="37" t="inlineStr">
        <is>
          <t>ARSummary-1</t>
        </is>
      </c>
      <c r="F30" s="39">
        <f>IF(AND(C30&lt;&gt;"Resident table",C30&lt;&gt;"STORE output",COUNTIFS(A$7:A30,A30,D$7:D30,D30)=1),1,0)</f>
        <v/>
      </c>
      <c r="G30" s="39">
        <f>IF(AND(C30&lt;&gt;"Resident table",C30&lt;&gt;"STORE output",COUNTIF(D$7:D30,D30)=1),1,0)</f>
        <v/>
      </c>
    </row>
    <row r="31">
      <c r="A31" s="32" t="inlineStr">
        <is>
          <t>First Qlikview Report</t>
        </is>
      </c>
      <c r="B31" s="32" t="inlineStr">
        <is>
          <t>Main</t>
        </is>
      </c>
      <c r="C31" s="32" t="inlineStr">
        <is>
          <t>Excel file</t>
        </is>
      </c>
      <c r="D31" s="42" t="inlineStr">
        <is>
          <t>C:\Users\1815\Downloads\Sales_Data.xlsx</t>
        </is>
      </c>
      <c r="E31" s="32" t="inlineStr"/>
      <c r="F31" s="34">
        <f>IF(AND(C31&lt;&gt;"Resident table",C31&lt;&gt;"STORE output",COUNTIFS(A$7:A31,A31,D$7:D31,D31)=1),1,0)</f>
        <v/>
      </c>
      <c r="G31" s="34">
        <f>IF(AND(C31&lt;&gt;"Resident table",C31&lt;&gt;"STORE output",COUNTIF(D$7:D31,D31)=1),1,0)</f>
        <v/>
      </c>
    </row>
    <row r="32">
      <c r="A32" s="37" t="inlineStr">
        <is>
          <t>Helpdesk Management</t>
        </is>
      </c>
      <c r="B32" s="37" t="inlineStr">
        <is>
          <t>Cases</t>
        </is>
      </c>
      <c r="C32" s="37" t="inlineStr">
        <is>
          <t>QVD file</t>
        </is>
      </c>
      <c r="D32" s="43" t="inlineStr">
        <is>
          <t>Database\Helpdesk Cases.qvd</t>
        </is>
      </c>
      <c r="E32" s="37" t="inlineStr">
        <is>
          <t>Helpdesk Cases</t>
        </is>
      </c>
      <c r="F32" s="39">
        <f>IF(AND(C32&lt;&gt;"Resident table",C32&lt;&gt;"STORE output",COUNTIFS(A$7:A32,A32,D$7:D32,D32)=1),1,0)</f>
        <v/>
      </c>
      <c r="G32" s="39">
        <f>IF(AND(C32&lt;&gt;"Resident table",C32&lt;&gt;"STORE output",COUNTIF(D$7:D32,D32)=1),1,0)</f>
        <v/>
      </c>
    </row>
    <row r="33">
      <c r="A33" s="32" t="inlineStr">
        <is>
          <t>Helpdesk Management</t>
        </is>
      </c>
      <c r="B33" s="32" t="inlineStr">
        <is>
          <t>Cases</t>
        </is>
      </c>
      <c r="C33" s="32" t="inlineStr">
        <is>
          <t>QVD file</t>
        </is>
      </c>
      <c r="D33" s="42" t="inlineStr">
        <is>
          <t>Database\Requests.qvd</t>
        </is>
      </c>
      <c r="E33" s="32" t="inlineStr">
        <is>
          <t>Requests</t>
        </is>
      </c>
      <c r="F33" s="34">
        <f>IF(AND(C33&lt;&gt;"Resident table",C33&lt;&gt;"STORE output",COUNTIFS(A$7:A33,A33,D$7:D33,D33)=1),1,0)</f>
        <v/>
      </c>
      <c r="G33" s="34">
        <f>IF(AND(C33&lt;&gt;"Resident table",C33&lt;&gt;"STORE output",COUNTIF(D$7:D33,D33)=1),1,0)</f>
        <v/>
      </c>
    </row>
    <row r="34">
      <c r="A34" s="37" t="inlineStr">
        <is>
          <t>Helpdesk Management</t>
        </is>
      </c>
      <c r="B34" s="37" t="inlineStr">
        <is>
          <t>Cases</t>
        </is>
      </c>
      <c r="C34" s="37" t="inlineStr">
        <is>
          <t>QVD file</t>
        </is>
      </c>
      <c r="D34" s="43" t="inlineStr">
        <is>
          <t>Database\Calendar.qvd</t>
        </is>
      </c>
      <c r="E34" s="37" t="inlineStr">
        <is>
          <t>Calendar</t>
        </is>
      </c>
      <c r="F34" s="39">
        <f>IF(AND(C34&lt;&gt;"Resident table",C34&lt;&gt;"STORE output",COUNTIFS(A$7:A34,A34,D$7:D34,D34)=1),1,0)</f>
        <v/>
      </c>
      <c r="G34" s="39">
        <f>IF(AND(C34&lt;&gt;"Resident table",C34&lt;&gt;"STORE output",COUNTIF(D$7:D34,D34)=1),1,0)</f>
        <v/>
      </c>
    </row>
    <row r="35">
      <c r="A35" s="32" t="inlineStr">
        <is>
          <t>Sales Analysis</t>
        </is>
      </c>
      <c r="B35" s="32" t="inlineStr">
        <is>
          <t>Sezione generata automaticamente</t>
        </is>
      </c>
      <c r="C35" s="32" t="inlineStr">
        <is>
          <t>Excel file</t>
        </is>
      </c>
      <c r="D35" s="42" t="inlineStr">
        <is>
          <t>lib://simple_data/Customers and Categories.xlsx</t>
        </is>
      </c>
      <c r="E35" s="32" t="inlineStr">
        <is>
          <t>Categories</t>
        </is>
      </c>
      <c r="F35" s="34">
        <f>IF(AND(C35&lt;&gt;"Resident table",C35&lt;&gt;"STORE output",COUNTIFS(A$7:A35,A35,D$7:D35,D35)=1),1,0)</f>
        <v/>
      </c>
      <c r="G35" s="34">
        <f>IF(AND(C35&lt;&gt;"Resident table",C35&lt;&gt;"STORE output",COUNTIF(D$7:D35,D35)=1),1,0)</f>
        <v/>
      </c>
    </row>
    <row r="36">
      <c r="A36" s="37" t="inlineStr">
        <is>
          <t>Sales Analysis</t>
        </is>
      </c>
      <c r="B36" s="37" t="inlineStr">
        <is>
          <t>Sezione generata automaticamente</t>
        </is>
      </c>
      <c r="C36" s="37" t="inlineStr">
        <is>
          <t>Excel file</t>
        </is>
      </c>
      <c r="D36" s="43" t="inlineStr">
        <is>
          <t>lib://simple_data/Customers and Categories.xlsx</t>
        </is>
      </c>
      <c r="E36" s="37" t="inlineStr">
        <is>
          <t>Customers</t>
        </is>
      </c>
      <c r="F36" s="39">
        <f>IF(AND(C36&lt;&gt;"Resident table",C36&lt;&gt;"STORE output",COUNTIFS(A$7:A36,A36,D$7:D36,D36)=1),1,0)</f>
        <v/>
      </c>
      <c r="G36" s="39">
        <f>IF(AND(C36&lt;&gt;"Resident table",C36&lt;&gt;"STORE output",COUNTIF(D$7:D36,D36)=1),1,0)</f>
        <v/>
      </c>
    </row>
    <row r="37">
      <c r="A37" s="32" t="inlineStr">
        <is>
          <t>Sales Analysis</t>
        </is>
      </c>
      <c r="B37" s="32" t="inlineStr">
        <is>
          <t>Sezione generata automaticamente</t>
        </is>
      </c>
      <c r="C37" s="32" t="inlineStr">
        <is>
          <t>Excel file</t>
        </is>
      </c>
      <c r="D37" s="42" t="inlineStr">
        <is>
          <t>lib://simple_data/Customers and Categories.xlsx</t>
        </is>
      </c>
      <c r="E37" s="32" t="inlineStr">
        <is>
          <t>Products</t>
        </is>
      </c>
      <c r="F37" s="34">
        <f>IF(AND(C37&lt;&gt;"Resident table",C37&lt;&gt;"STORE output",COUNTIFS(A$7:A37,A37,D$7:D37,D37)=1),1,0)</f>
        <v/>
      </c>
      <c r="G37" s="34">
        <f>IF(AND(C37&lt;&gt;"Resident table",C37&lt;&gt;"STORE output",COUNTIF(D$7:D37,D37)=1),1,0)</f>
        <v/>
      </c>
    </row>
    <row r="38">
      <c r="A38" s="37" t="inlineStr">
        <is>
          <t>Sales Analysis</t>
        </is>
      </c>
      <c r="B38" s="37" t="inlineStr">
        <is>
          <t>Sezione generata automaticamente</t>
        </is>
      </c>
      <c r="C38" s="37" t="inlineStr">
        <is>
          <t>Excel file</t>
        </is>
      </c>
      <c r="D38" s="43" t="inlineStr">
        <is>
          <t>lib://simple_data/Orders.xls</t>
        </is>
      </c>
      <c r="E38" s="37" t="inlineStr">
        <is>
          <t>Orders$</t>
        </is>
      </c>
      <c r="F38" s="39">
        <f>IF(AND(C38&lt;&gt;"Resident table",C38&lt;&gt;"STORE output",COUNTIFS(A$7:A38,A38,D$7:D38,D38)=1),1,0)</f>
        <v/>
      </c>
      <c r="G38" s="39">
        <f>IF(AND(C38&lt;&gt;"Resident table",C38&lt;&gt;"STORE output",COUNTIF(D$7:D38,D38)=1),1,0)</f>
        <v/>
      </c>
    </row>
    <row r="39">
      <c r="A39" s="32" t="inlineStr">
        <is>
          <t>TryConfigColorAndAgrField</t>
        </is>
      </c>
      <c r="B39" s="32" t="inlineStr">
        <is>
          <t>Load data</t>
        </is>
      </c>
      <c r="C39" s="32" t="inlineStr">
        <is>
          <t>Inline table</t>
        </is>
      </c>
      <c r="D39" s="42" t="inlineStr">
        <is>
          <t>INLINE</t>
        </is>
      </c>
      <c r="E39" s="32" t="inlineStr">
        <is>
          <t>Data</t>
        </is>
      </c>
      <c r="F39" s="34">
        <f>IF(AND(C39&lt;&gt;"Resident table",C39&lt;&gt;"STORE output",COUNTIFS(A$7:A39,A39,D$7:D39,D39)=1),1,0)</f>
        <v/>
      </c>
      <c r="G39" s="34">
        <f>IF(AND(C39&lt;&gt;"Resident table",C39&lt;&gt;"STORE output",COUNTIF(D$7:D39,D39)=1),1,0)</f>
        <v/>
      </c>
    </row>
    <row r="40">
      <c r="A40" s="37" t="inlineStr">
        <is>
          <t>TryConfigColorAndAgrField</t>
        </is>
      </c>
      <c r="B40" s="37" t="inlineStr">
        <is>
          <t>Load data</t>
        </is>
      </c>
      <c r="C40" s="37" t="inlineStr">
        <is>
          <t>Inline table</t>
        </is>
      </c>
      <c r="D40" s="43" t="inlineStr">
        <is>
          <t>INLINE</t>
        </is>
      </c>
      <c r="E40" s="37" t="inlineStr">
        <is>
          <t>TipiPrezzo</t>
        </is>
      </c>
      <c r="F40" s="39">
        <f>IF(AND(C40&lt;&gt;"Resident table",C40&lt;&gt;"STORE output",COUNTIFS(A$7:A40,A40,D$7:D40,D40)=1),1,0)</f>
        <v/>
      </c>
      <c r="G40" s="39">
        <f>IF(AND(C40&lt;&gt;"Resident table",C40&lt;&gt;"STORE output",COUNTIF(D$7:D40,D40)=1),1,0)</f>
        <v/>
      </c>
    </row>
    <row r="41">
      <c r="A41" s="32" t="inlineStr">
        <is>
          <t>TryExtensions</t>
        </is>
      </c>
      <c r="B41" s="32" t="inlineStr">
        <is>
          <t>Initial data</t>
        </is>
      </c>
      <c r="C41" s="32" t="inlineStr">
        <is>
          <t>Inline table</t>
        </is>
      </c>
      <c r="D41" s="42" t="inlineStr">
        <is>
          <t>INLINE</t>
        </is>
      </c>
      <c r="E41" s="32" t="inlineStr"/>
      <c r="F41" s="34">
        <f>IF(AND(C41&lt;&gt;"Resident table",C41&lt;&gt;"STORE output",COUNTIFS(A$7:A41,A41,D$7:D41,D41)=1),1,0)</f>
        <v/>
      </c>
      <c r="G41" s="34">
        <f>IF(AND(C41&lt;&gt;"Resident table",C41&lt;&gt;"STORE output",COUNTIF(D$7:D41,D41)=1),1,0)</f>
        <v/>
      </c>
    </row>
    <row r="42">
      <c r="A42" s="37" t="inlineStr">
        <is>
          <t>Tutorial creazione nuova app</t>
        </is>
      </c>
      <c r="B42" s="37" t="inlineStr">
        <is>
          <t>Sezione generata automaticamente</t>
        </is>
      </c>
      <c r="C42" s="37" t="inlineStr">
        <is>
          <t>Excel file</t>
        </is>
      </c>
      <c r="D42" s="43" t="inlineStr">
        <is>
          <t>lib://Tutorial source/Sales.xlsx</t>
        </is>
      </c>
      <c r="E42" s="37" t="inlineStr">
        <is>
          <t>Sales</t>
        </is>
      </c>
      <c r="F42" s="39">
        <f>IF(AND(C42&lt;&gt;"Resident table",C42&lt;&gt;"STORE output",COUNTIFS(A$7:A42,A42,D$7:D42,D42)=1),1,0)</f>
        <v/>
      </c>
      <c r="G42" s="39">
        <f>IF(AND(C42&lt;&gt;"Resident table",C42&lt;&gt;"STORE output",COUNTIF(D$7:D42,D42)=1),1,0)</f>
        <v/>
      </c>
    </row>
    <row r="43">
      <c r="A43" s="32" t="inlineStr">
        <is>
          <t>Tutorial creazione nuova app</t>
        </is>
      </c>
      <c r="B43" s="32" t="inlineStr">
        <is>
          <t>Sezione generata automaticamente</t>
        </is>
      </c>
      <c r="C43" s="32" t="inlineStr">
        <is>
          <t>Excel file</t>
        </is>
      </c>
      <c r="D43" s="42" t="inlineStr">
        <is>
          <t>lib://Tutorial source/Item master.xlsx</t>
        </is>
      </c>
      <c r="E43" s="32" t="inlineStr">
        <is>
          <t>Item master</t>
        </is>
      </c>
      <c r="F43" s="34">
        <f>IF(AND(C43&lt;&gt;"Resident table",C43&lt;&gt;"STORE output",COUNTIFS(A$7:A43,A43,D$7:D43,D43)=1),1,0)</f>
        <v/>
      </c>
      <c r="G43" s="34">
        <f>IF(AND(C43&lt;&gt;"Resident table",C43&lt;&gt;"STORE output",COUNTIF(D$7:D43,D43)=1),1,0)</f>
        <v/>
      </c>
    </row>
    <row r="44">
      <c r="A44" s="37" t="inlineStr">
        <is>
          <t>Tutorial creazione nuova app</t>
        </is>
      </c>
      <c r="B44" s="37" t="inlineStr">
        <is>
          <t>Sezione generata automaticamente</t>
        </is>
      </c>
      <c r="C44" s="37" t="inlineStr">
        <is>
          <t>Excel file</t>
        </is>
      </c>
      <c r="D44" s="43" t="inlineStr">
        <is>
          <t>lib://Tutorial source/Cities.xlsx</t>
        </is>
      </c>
      <c r="E44" s="37" t="inlineStr">
        <is>
          <t>Cities</t>
        </is>
      </c>
      <c r="F44" s="39">
        <f>IF(AND(C44&lt;&gt;"Resident table",C44&lt;&gt;"STORE output",COUNTIFS(A$7:A44,A44,D$7:D44,D44)=1),1,0)</f>
        <v/>
      </c>
      <c r="G44" s="39">
        <f>IF(AND(C44&lt;&gt;"Resident table",C44&lt;&gt;"STORE output",COUNTIF(D$7:D44,D44)=1),1,0)</f>
        <v/>
      </c>
    </row>
    <row r="45">
      <c r="A45" s="32" t="inlineStr">
        <is>
          <t>Tutorial creazione nuova app</t>
        </is>
      </c>
      <c r="B45" s="32" t="inlineStr">
        <is>
          <t>Sezione generata automaticamente</t>
        </is>
      </c>
      <c r="C45" s="32" t="inlineStr">
        <is>
          <t>Text / CSV file</t>
        </is>
      </c>
      <c r="D45" s="42" t="inlineStr">
        <is>
          <t>lib://Tutorial source/Sales rep.csv</t>
        </is>
      </c>
      <c r="E45" s="32" t="inlineStr">
        <is>
          <t>Sales rep</t>
        </is>
      </c>
      <c r="F45" s="34">
        <f>IF(AND(C45&lt;&gt;"Resident table",C45&lt;&gt;"STORE output",COUNTIFS(A$7:A45,A45,D$7:D45,D45)=1),1,0)</f>
        <v/>
      </c>
      <c r="G45" s="34">
        <f>IF(AND(C45&lt;&gt;"Resident table",C45&lt;&gt;"STORE output",COUNTIF(D$7:D45,D45)=1),1,0)</f>
        <v/>
      </c>
    </row>
    <row r="46">
      <c r="A46" s="37" t="inlineStr">
        <is>
          <t>Tutorial creazione nuova app</t>
        </is>
      </c>
      <c r="B46" s="37" t="inlineStr">
        <is>
          <t>Sezione generata automaticamente</t>
        </is>
      </c>
      <c r="C46" s="37" t="inlineStr">
        <is>
          <t>Excel file</t>
        </is>
      </c>
      <c r="D46" s="43" t="inlineStr">
        <is>
          <t>lib://Tutorial source/Customers.xlsx</t>
        </is>
      </c>
      <c r="E46" s="37" t="inlineStr">
        <is>
          <t>Customer</t>
        </is>
      </c>
      <c r="F46" s="39">
        <f>IF(AND(C46&lt;&gt;"Resident table",C46&lt;&gt;"STORE output",COUNTIFS(A$7:A46,A46,D$7:D46,D46)=1),1,0)</f>
        <v/>
      </c>
      <c r="G46" s="39">
        <f>IF(AND(C46&lt;&gt;"Resident table",C46&lt;&gt;"STORE output",COUNTIF(D$7:D46,D46)=1),1,0)</f>
        <v/>
      </c>
    </row>
    <row r="47">
      <c r="A47" s="32" t="inlineStr">
        <is>
          <t>Tutorial creazione nuova app</t>
        </is>
      </c>
      <c r="B47" s="32" t="inlineStr">
        <is>
          <t>Master calendar</t>
        </is>
      </c>
      <c r="C47" s="32" t="inlineStr">
        <is>
          <t>Resident table</t>
        </is>
      </c>
      <c r="D47" s="42" t="inlineStr">
        <is>
          <t>TempCalendar</t>
        </is>
      </c>
      <c r="E47" s="32" t="inlineStr">
        <is>
          <t>MasterCalendar</t>
        </is>
      </c>
      <c r="F47" s="34">
        <f>IF(AND(C47&lt;&gt;"Resident table",C47&lt;&gt;"STORE output",COUNTIFS(A$7:A47,A47,D$7:D47,D47)=1),1,0)</f>
        <v/>
      </c>
      <c r="G47" s="34">
        <f>IF(AND(C47&lt;&gt;"Resident table",C47&lt;&gt;"STORE output",COUNTIF(D$7:D47,D47)=1),1,0)</f>
        <v/>
      </c>
    </row>
  </sheetData>
  <autoFilter ref="A6:G47"/>
  <mergeCells count="1">
    <mergeCell ref="C2:D3"/>
  </mergeCells>
  <pageMargins left="0.75" right="0.75" top="1" bottom="1" header="0.5" footer="0.5"/>
  <pageSetup orientation="landscape" fitToHeight="0" fitToWidth="1"/>
  <drawing xmlns:r="http://schemas.openxmlformats.org/officeDocument/2006/relationships" r:id="rId1"/>
</worksheet>
</file>

<file path=xl/worksheets/sheet14.xml><?xml version="1.0" encoding="utf-8"?>
<worksheet xmlns="http://schemas.openxmlformats.org/spreadsheetml/2006/main">
  <sheetPr>
    <tabColor rgb="002C4650"/>
    <outlinePr summaryBelow="1" summaryRight="1"/>
    <pageSetUpPr fitToPage="1"/>
  </sheetPr>
  <dimension ref="A2:F50"/>
  <sheetViews>
    <sheetView showGridLines="0" workbookViewId="0">
      <pane ySplit="6" topLeftCell="A7" activePane="bottomLeft" state="frozen"/>
      <selection pane="bottomLeft" activeCell="A1" sqref="A1"/>
    </sheetView>
  </sheetViews>
  <sheetFormatPr baseColWidth="8" defaultRowHeight="15"/>
  <cols>
    <col width="26" customWidth="1" min="1" max="1"/>
    <col width="28" customWidth="1" min="2" max="2"/>
    <col width="50" customWidth="1" min="3" max="3"/>
    <col width="12" customWidth="1" min="4" max="4"/>
    <col width="10" customWidth="1" min="5" max="5"/>
    <col width="70" customWidth="1" min="6" max="6"/>
  </cols>
  <sheetData>
    <row r="1" ht="24" customHeight="1"/>
    <row r="2" ht="24" customHeight="1">
      <c r="C2" s="1" t="inlineStr">
        <is>
          <t>Data tables  ·  tables stored in the apps</t>
        </is>
      </c>
    </row>
    <row r="3" ht="20" customHeight="1"/>
    <row r="4" ht="10" customHeight="1"/>
    <row r="5" ht="18" customHeight="1">
      <c r="A5" s="29">
        <f>HYPERLINK("#'Discovery'!A1","«  Back to Discovery")</f>
        <v/>
      </c>
      <c r="B5" s="30" t="inlineStr">
        <is>
          <t>Tables stored in each app with source, row and column counts (none when saved without data).</t>
        </is>
      </c>
    </row>
    <row r="6" ht="30" customHeight="1">
      <c r="A6" s="31" t="inlineStr">
        <is>
          <t>App</t>
        </is>
      </c>
      <c r="B6" s="31" t="inlineStr">
        <is>
          <t>Table</t>
        </is>
      </c>
      <c r="C6" s="31" t="inlineStr">
        <is>
          <t>Source</t>
        </is>
      </c>
      <c r="D6" s="31" t="inlineStr">
        <is>
          <t>Rows</t>
        </is>
      </c>
      <c r="E6" s="31" t="inlineStr">
        <is>
          <t>Columns</t>
        </is>
      </c>
      <c r="F6" s="31" t="inlineStr">
        <is>
          <t>Field names</t>
        </is>
      </c>
    </row>
    <row r="7">
      <c r="A7" s="32" t="inlineStr">
        <is>
          <t>Executive Dashboard</t>
        </is>
      </c>
      <c r="B7" s="32" t="inlineStr">
        <is>
          <t>AccountGroupMaster</t>
        </is>
      </c>
      <c r="C7" s="32" t="inlineStr">
        <is>
          <t>C:\Users\cbo\Documents\Qlik\QlikView\Apps\Executive Dashboard Files\AccountGroupMaster.qvd</t>
        </is>
      </c>
      <c r="D7" s="34" t="n">
        <v>27</v>
      </c>
      <c r="E7" s="34" t="n">
        <v>2</v>
      </c>
      <c r="F7" s="42" t="inlineStr">
        <is>
          <t>AccountGroup, AccountGroupDesc</t>
        </is>
      </c>
    </row>
    <row r="8">
      <c r="A8" s="37" t="inlineStr">
        <is>
          <t>Executive Dashboard</t>
        </is>
      </c>
      <c r="B8" s="37" t="inlineStr">
        <is>
          <t>AccountMaster</t>
        </is>
      </c>
      <c r="C8" s="37" t="inlineStr">
        <is>
          <t>C:\Users\cbo\Documents\Qlik\QlikView\Apps\Executive Dashboard Files\AccountMaster.qvd</t>
        </is>
      </c>
      <c r="D8" s="39" t="n">
        <v>103</v>
      </c>
      <c r="E8" s="39" t="n">
        <v>2</v>
      </c>
      <c r="F8" s="43" t="inlineStr">
        <is>
          <t>Account, AccountGroup</t>
        </is>
      </c>
    </row>
    <row r="9">
      <c r="A9" s="32" t="inlineStr">
        <is>
          <t>Executive Dashboard</t>
        </is>
      </c>
      <c r="B9" s="32" t="inlineStr">
        <is>
          <t>Budget</t>
        </is>
      </c>
      <c r="C9" s="32" t="inlineStr">
        <is>
          <t>C:\Users\cbo\Documents\Qlik\QlikView\Apps\Executive Dashboard Files\RegionalSales.xlsx</t>
        </is>
      </c>
      <c r="D9" s="34" t="n">
        <v>216</v>
      </c>
      <c r="E9" s="34" t="n">
        <v>2</v>
      </c>
      <c r="F9" s="42" t="inlineStr">
        <is>
          <t>MonthlyRegionKey, Budget Amount</t>
        </is>
      </c>
    </row>
    <row r="10">
      <c r="A10" s="37" t="inlineStr">
        <is>
          <t>Executive Dashboard</t>
        </is>
      </c>
      <c r="B10" s="37" t="inlineStr">
        <is>
          <t>InventoryBalances</t>
        </is>
      </c>
      <c r="C10" s="37" t="inlineStr">
        <is>
          <t>C:\Users\cbo\Documents\Qlik\QlikView\Apps\Executive Dashboard Files\InventoryBalances.qvd</t>
        </is>
      </c>
      <c r="D10" s="39" t="n">
        <v>836</v>
      </c>
      <c r="E10" s="39" t="n">
        <v>5</v>
      </c>
      <c r="F10" s="43" t="inlineStr">
        <is>
          <t>Line Desc 1, ClassTurns, ThroughputQty, CostPrice, StockOH</t>
        </is>
      </c>
    </row>
    <row r="11">
      <c r="A11" s="32" t="inlineStr">
        <is>
          <t>Executive Dashboard</t>
        </is>
      </c>
      <c r="B11" s="32" t="inlineStr">
        <is>
          <t>ItemMaster</t>
        </is>
      </c>
      <c r="C11" s="32" t="inlineStr">
        <is>
          <t>C:\Users\cbo\Documents\Qlik\QlikView\Apps\Executive Dashboard Files\ItemMaster.qvd</t>
        </is>
      </c>
      <c r="D11" s="34" t="n">
        <v>826</v>
      </c>
      <c r="E11" s="34" t="n">
        <v>5</v>
      </c>
      <c r="F11" s="42" t="inlineStr">
        <is>
          <t>Product Group, Product Line, Product Sub Group, Product Type, Short Name</t>
        </is>
      </c>
    </row>
    <row r="12">
      <c r="A12" s="37" t="inlineStr">
        <is>
          <t>Executive Dashboard</t>
        </is>
      </c>
      <c r="B12" s="37" t="inlineStr">
        <is>
          <t>ProductSubGroupMaster</t>
        </is>
      </c>
      <c r="C12" s="37" t="inlineStr">
        <is>
          <t>C:\Users\cbo\Documents\Qlik\QlikView\Apps\Executive Dashboard Files\ProductSubGroupMaster.qvd</t>
        </is>
      </c>
      <c r="D12" s="39" t="n">
        <v>70</v>
      </c>
      <c r="E12" s="39" t="n">
        <v>2</v>
      </c>
      <c r="F12" s="43" t="inlineStr">
        <is>
          <t>Product Sub Group, Product Sub Group Desc</t>
        </is>
      </c>
    </row>
    <row r="13">
      <c r="A13" s="32" t="inlineStr">
        <is>
          <t>Executive Dashboard</t>
        </is>
      </c>
      <c r="B13" s="32" t="inlineStr">
        <is>
          <t>ProductTypeMaster</t>
        </is>
      </c>
      <c r="C13" s="32" t="inlineStr">
        <is>
          <t>C:\Users\cbo\Documents\Qlik\QlikView\Apps\Executive Dashboard Files\ProductTypeMaster.qvd</t>
        </is>
      </c>
      <c r="D13" s="34" t="n">
        <v>31</v>
      </c>
      <c r="E13" s="34" t="n">
        <v>2</v>
      </c>
      <c r="F13" s="42" t="inlineStr">
        <is>
          <t>Product Type, Product Type Desc</t>
        </is>
      </c>
    </row>
    <row r="14">
      <c r="A14" s="37" t="inlineStr">
        <is>
          <t>Executive Dashboard</t>
        </is>
      </c>
      <c r="B14" s="37" t="inlineStr">
        <is>
          <t>ProductGroupMaster</t>
        </is>
      </c>
      <c r="C14" s="37" t="inlineStr">
        <is>
          <t>C:\Users\cbo\Documents\Qlik\QlikView\Apps\Executive Dashboard Files\ProductGroupMaster.qvd</t>
        </is>
      </c>
      <c r="D14" s="39" t="n">
        <v>17</v>
      </c>
      <c r="E14" s="39" t="n">
        <v>2</v>
      </c>
      <c r="F14" s="43" t="inlineStr">
        <is>
          <t>Product Group, Product Group Desc</t>
        </is>
      </c>
    </row>
    <row r="15">
      <c r="A15" s="32" t="inlineStr">
        <is>
          <t>Executive Dashboard</t>
        </is>
      </c>
      <c r="B15" s="32" t="inlineStr">
        <is>
          <t>ItemBranchMaster</t>
        </is>
      </c>
      <c r="C15" s="32" t="inlineStr">
        <is>
          <t>C:\Users\cbo\Documents\Qlik\QlikView\Apps\Executive Dashboard Files\ItemBranchMaster.qvd</t>
        </is>
      </c>
      <c r="D15" s="34" t="n">
        <v>906</v>
      </c>
      <c r="E15" s="34" t="n">
        <v>2</v>
      </c>
      <c r="F15" s="42" t="inlineStr">
        <is>
          <t>Item-Branch Key, Short Name</t>
        </is>
      </c>
    </row>
    <row r="16">
      <c r="A16" s="37" t="inlineStr">
        <is>
          <t>Executive Dashboard</t>
        </is>
      </c>
      <c r="B16" s="37" t="inlineStr">
        <is>
          <t>SalesRepMaster</t>
        </is>
      </c>
      <c r="C16" s="37" t="inlineStr">
        <is>
          <t>C:\Users\cbo\Documents\Qlik\QlikView\Apps\Executive Dashboard Files\SalesRepMaster.qvd</t>
        </is>
      </c>
      <c r="D16" s="39" t="n">
        <v>64</v>
      </c>
      <c r="E16" s="39" t="n">
        <v>2</v>
      </c>
      <c r="F16" s="43" t="inlineStr">
        <is>
          <t>Sales Rep, Sales Rep Name</t>
        </is>
      </c>
    </row>
    <row r="17">
      <c r="A17" s="32" t="inlineStr">
        <is>
          <t>Executive Dashboard</t>
        </is>
      </c>
      <c r="B17" s="32" t="inlineStr">
        <is>
          <t>FactTable</t>
        </is>
      </c>
      <c r="C17" s="32" t="inlineStr">
        <is>
          <t>C:\Users\cbo\Documents\Qlik\QlikView\Apps\Executive Dashboard Files\Expenses.xls</t>
        </is>
      </c>
      <c r="D17" s="34" t="n">
        <v>73417</v>
      </c>
      <c r="E17" s="34" t="n">
        <v>22</v>
      </c>
      <c r="F17" s="42" t="inlineStr">
        <is>
          <t>MonthlyRegionKey, Region, Address Number, CustKey, Invoice Number, Item-Branch Key, Late Shipment, Line Desc 1, Open Order Amount, Order Number, Order Status, OrderDate, OrderID, OrderStat, Promised Delivery Date, Sales Amount, Sales Cost Amount, Sales Margin Amount, Sales Price, Sales Quantity, Ship To, YYYYMM</t>
        </is>
      </c>
    </row>
    <row r="18">
      <c r="A18" s="37" t="inlineStr">
        <is>
          <t>Executive Dashboard</t>
        </is>
      </c>
      <c r="B18" s="37" t="inlineStr">
        <is>
          <t>Expenses</t>
        </is>
      </c>
      <c r="C18" s="37" t="inlineStr">
        <is>
          <t>C:\Users\cbo\Documents\Qlik\QlikView\Apps\Executive Dashboard Files\Expenses.xls</t>
        </is>
      </c>
      <c r="D18" s="39" t="n">
        <v>7447</v>
      </c>
      <c r="E18" s="39" t="n">
        <v>4</v>
      </c>
      <c r="F18" s="43" t="inlineStr">
        <is>
          <t>MonthlyRegionKey, Account, ExpenseActual, ExpenseBudget</t>
        </is>
      </c>
    </row>
    <row r="19">
      <c r="A19" s="32" t="inlineStr">
        <is>
          <t>Executive Dashboard</t>
        </is>
      </c>
      <c r="B19" s="32" t="inlineStr">
        <is>
          <t>HistoryFlag</t>
        </is>
      </c>
      <c r="C19" s="32" t="inlineStr">
        <is>
          <t>C:\Users\cbo\Documents\Qlik\QlikView\Apps\Executive Dashboard Files\Expenses.xls</t>
        </is>
      </c>
      <c r="D19" s="34" t="n">
        <v>36</v>
      </c>
      <c r="E19" s="34" t="n">
        <v>2</v>
      </c>
      <c r="F19" s="42" t="inlineStr">
        <is>
          <t>YYYYMM, _HistoryFlag</t>
        </is>
      </c>
    </row>
    <row r="20">
      <c r="A20" s="37" t="inlineStr">
        <is>
          <t>Executive Dashboard</t>
        </is>
      </c>
      <c r="B20" s="37" t="inlineStr">
        <is>
          <t>Accounts</t>
        </is>
      </c>
      <c r="C20" s="37" t="inlineStr">
        <is>
          <t>C:\Users\cbo\Documents\Qlik\QlikView\Apps\Executive Dashboard Files\ExpenseAccounts.xls</t>
        </is>
      </c>
      <c r="D20" s="39" t="n">
        <v>45</v>
      </c>
      <c r="E20" s="39" t="n">
        <v>2</v>
      </c>
      <c r="F20" s="43" t="inlineStr">
        <is>
          <t>Account, AccountDesc</t>
        </is>
      </c>
    </row>
    <row r="21">
      <c r="A21" s="32" t="inlineStr">
        <is>
          <t>Executive Dashboard</t>
        </is>
      </c>
      <c r="B21" s="32" t="inlineStr">
        <is>
          <t>CustomerAddressMaster</t>
        </is>
      </c>
      <c r="C21" s="32" t="inlineStr">
        <is>
          <t>C:\Users\cbo\Documents\Qlik\QlikView\Apps\Executive Dashboard Files\CustomerAddressMaster.qvd</t>
        </is>
      </c>
      <c r="D21" s="34" t="n">
        <v>130</v>
      </c>
      <c r="E21" s="34" t="n">
        <v>3</v>
      </c>
      <c r="F21" s="42" t="inlineStr">
        <is>
          <t>Address Number, Customer Address 1, Zip Code</t>
        </is>
      </c>
    </row>
    <row r="22">
      <c r="A22" s="37" t="inlineStr">
        <is>
          <t>Executive Dashboard</t>
        </is>
      </c>
      <c r="B22" s="37" t="inlineStr">
        <is>
          <t>CustomerMap</t>
        </is>
      </c>
      <c r="C22" s="37" t="inlineStr">
        <is>
          <t>C:\Users\cbo\Documents\Qlik\QlikView\Apps\Executive Dashboard Files\CustomerMap.qvd</t>
        </is>
      </c>
      <c r="D22" s="39" t="n">
        <v>73</v>
      </c>
      <c r="E22" s="39" t="n">
        <v>2</v>
      </c>
      <c r="F22" s="43" t="inlineStr">
        <is>
          <t>CustKey, CustKeyAR</t>
        </is>
      </c>
    </row>
    <row r="23">
      <c r="A23" s="32" t="inlineStr">
        <is>
          <t>Executive Dashboard</t>
        </is>
      </c>
      <c r="B23" s="32" t="inlineStr">
        <is>
          <t>CustomerMaster</t>
        </is>
      </c>
      <c r="C23" s="32" t="inlineStr">
        <is>
          <t>C:\Users\cbo\Documents\Qlik\QlikView\Apps\Executive Dashboard Files\CustomerMaster.qvd</t>
        </is>
      </c>
      <c r="D23" s="34" t="n">
        <v>130</v>
      </c>
      <c r="E23" s="34" t="n">
        <v>13</v>
      </c>
      <c r="F23" s="42" t="inlineStr">
        <is>
          <t>Address Number, Business Family, Segment, Customer, Customer Number, Customer Type, Distribution Channel Mgr, Division, Phone, Region Code, Regional Sales Mgr, Zone Mgr, Sales Rep</t>
        </is>
      </c>
    </row>
    <row r="24">
      <c r="A24" s="37" t="inlineStr">
        <is>
          <t>Executive Dashboard</t>
        </is>
      </c>
      <c r="B24" s="37" t="inlineStr">
        <is>
          <t>ChannelMaster</t>
        </is>
      </c>
      <c r="C24" s="37" t="inlineStr">
        <is>
          <t>C:\Users\cbo\Documents\Qlik\QlikView\Apps\Executive Dashboard Files\ChannelMaster.qvd</t>
        </is>
      </c>
      <c r="D24" s="39" t="n">
        <v>8</v>
      </c>
      <c r="E24" s="39" t="n">
        <v>3</v>
      </c>
      <c r="F24" s="43" t="inlineStr">
        <is>
          <t>Segment, SegmentDesc, SegmentGroup</t>
        </is>
      </c>
    </row>
    <row r="25">
      <c r="A25" s="32" t="inlineStr">
        <is>
          <t>Executive Dashboard</t>
        </is>
      </c>
      <c r="B25" s="32" t="inlineStr">
        <is>
          <t>Calendar</t>
        </is>
      </c>
      <c r="C25" s="32" t="inlineStr">
        <is>
          <t>C:\Users\cbo\Documents\Qlik\QlikView\Apps\Executive Dashboard Files\Calendar.qvd</t>
        </is>
      </c>
      <c r="D25" s="34" t="n">
        <v>36</v>
      </c>
      <c r="E25" s="34" t="n">
        <v>6</v>
      </c>
      <c r="F25" s="42" t="inlineStr">
        <is>
          <t>Fiscal Quarter, Fiscal Year, FiscalMonth, FiscalMonthNum, FiscalRollQt, YYYYMM</t>
        </is>
      </c>
    </row>
    <row r="26">
      <c r="A26" s="37" t="inlineStr">
        <is>
          <t>Executive Dashboard</t>
        </is>
      </c>
      <c r="B26" s="37" t="inlineStr">
        <is>
          <t>ARSummary</t>
        </is>
      </c>
      <c r="C26" s="37" t="inlineStr">
        <is>
          <t>C:\Users\cbo\Documents\Qlik\QlikView\Apps\Executive Dashboard Files\ARSummary.qvd</t>
        </is>
      </c>
      <c r="D26" s="39" t="n">
        <v>73</v>
      </c>
      <c r="E26" s="39" t="n">
        <v>10</v>
      </c>
      <c r="F26" s="43" t="inlineStr">
        <is>
          <t>CustKeyAR, ARGross, AROpen, ARCurrent, AR1-30, AR31-60, AR60+, ARCredit, ARSalesPerDay, ARAvgBal</t>
        </is>
      </c>
    </row>
    <row r="27">
      <c r="A27" s="32" t="inlineStr">
        <is>
          <t>Executive Dashboard</t>
        </is>
      </c>
      <c r="B27" s="32" t="inlineStr">
        <is>
          <t>ARSummary-1</t>
        </is>
      </c>
      <c r="C27" s="32" t="inlineStr">
        <is>
          <t>C:\Users\cbo\Documents\Qlik\QlikView\Apps\Executive Dashboard Files\ARSummary-1.qvd</t>
        </is>
      </c>
      <c r="D27" s="34" t="n">
        <v>292</v>
      </c>
      <c r="E27" s="34" t="n">
        <v>3</v>
      </c>
      <c r="F27" s="42" t="inlineStr">
        <is>
          <t>CustKeyAR, ARAge, ARAgeBal</t>
        </is>
      </c>
    </row>
    <row r="28">
      <c r="A28" s="37" t="inlineStr">
        <is>
          <t>First Qlikview Report</t>
        </is>
      </c>
      <c r="B28" s="37" t="inlineStr">
        <is>
          <t>Fact_Sales</t>
        </is>
      </c>
      <c r="C28" s="37" t="inlineStr">
        <is>
          <t>C:\Users\1815\Downloads\Sales_Data.xlsx</t>
        </is>
      </c>
      <c r="D28" s="39" t="n">
        <v>100</v>
      </c>
      <c r="E28" s="39" t="n">
        <v>10</v>
      </c>
      <c r="F28" s="43" t="inlineStr">
        <is>
          <t>Order_ID, Date_Key, Product_Key, Region_Key, SalesRep_Key, Quantity, Unit_Cost, Unit_Price, Revenue, Profit</t>
        </is>
      </c>
    </row>
    <row r="29">
      <c r="A29" s="32" t="inlineStr">
        <is>
          <t>Helpdesk Management</t>
        </is>
      </c>
      <c r="B29" s="32" t="inlineStr">
        <is>
          <t>Helpdesk Cases</t>
        </is>
      </c>
      <c r="C29" s="32" t="inlineStr">
        <is>
          <t>C:\Users\cbo\Documents\Qlik\QlikView\Apps\Database\Helpdesk Cases.qvd</t>
        </is>
      </c>
      <c r="D29" s="34" t="n">
        <v>9031</v>
      </c>
      <c r="E29" s="34" t="n">
        <v>17</v>
      </c>
      <c r="F29" s="42" t="inlineStr">
        <is>
          <t>%CaseId, Case_Date_Key, Case Count, CaseNumber, Status, Priority, Priority Rank, Priority Sort, Case Is Closed, Case Aging, Cases Open/Closed, Case Closed Date, Case Created Date, Case Timetable, Case Timetable Rank, Case Record Type, Case Duration Time</t>
        </is>
      </c>
    </row>
    <row r="30">
      <c r="A30" s="37" t="inlineStr">
        <is>
          <t>Helpdesk Management</t>
        </is>
      </c>
      <c r="B30" s="37" t="inlineStr">
        <is>
          <t>Requests</t>
        </is>
      </c>
      <c r="C30" s="37" t="inlineStr">
        <is>
          <t>C:\Users\cbo\Documents\Qlik\QlikView\Apps\Database\Requests.qvd</t>
        </is>
      </c>
      <c r="D30" s="39" t="n">
        <v>9031</v>
      </c>
      <c r="E30" s="39" t="n">
        <v>8</v>
      </c>
      <c r="F30" s="43" t="inlineStr">
        <is>
          <t>%OwnerId, Case_Date_Key, Date, Subject, Case Owner, Case Owner Group, Employee Hire Date, Employee Status</t>
        </is>
      </c>
    </row>
    <row r="31">
      <c r="A31" s="32" t="inlineStr">
        <is>
          <t>Helpdesk Management</t>
        </is>
      </c>
      <c r="B31" s="32" t="inlineStr">
        <is>
          <t>Calendar</t>
        </is>
      </c>
      <c r="C31" s="32" t="inlineStr">
        <is>
          <t>C:\Users\cbo\Documents\Qlik\QlikView\Apps\Database\Calendar.qvd</t>
        </is>
      </c>
      <c r="D31" s="34" t="n">
        <v>90</v>
      </c>
      <c r="E31" s="34" t="n">
        <v>10</v>
      </c>
      <c r="F31" s="42" t="inlineStr">
        <is>
          <t>Week, Open Cases, Open Change Requests, Date, YearMonth, Month, Year, Quarter, Number of New Cases, Number of Closed Cases</t>
        </is>
      </c>
    </row>
    <row r="32">
      <c r="A32" s="37" t="inlineStr">
        <is>
          <t>Sales Analysis</t>
        </is>
      </c>
      <c r="B32" s="37" t="inlineStr">
        <is>
          <t>Categories</t>
        </is>
      </c>
      <c r="C32" s="37" t="inlineStr">
        <is>
          <t>C:\Projects\Ferrari\QlikSense\Testing\simple_data\Customers and Categories.xlsx</t>
        </is>
      </c>
      <c r="D32" s="39" t="n">
        <v>8</v>
      </c>
      <c r="E32" s="39" t="n">
        <v>3</v>
      </c>
      <c r="F32" s="43" t="inlineStr">
        <is>
          <t>CategoryID, CategoryName, Description</t>
        </is>
      </c>
    </row>
    <row r="33">
      <c r="A33" s="32" t="inlineStr">
        <is>
          <t>Sales Analysis</t>
        </is>
      </c>
      <c r="B33" s="32" t="inlineStr">
        <is>
          <t>Customers</t>
        </is>
      </c>
      <c r="C33" s="32" t="inlineStr">
        <is>
          <t>C:\Projects\Ferrari\QlikSense\Testing\simple_data\Customers and Categories.xlsx</t>
        </is>
      </c>
      <c r="D33" s="34" t="n">
        <v>92</v>
      </c>
      <c r="E33" s="34" t="n">
        <v>11</v>
      </c>
      <c r="F33" s="42" t="inlineStr">
        <is>
          <t>Address, City, ContactName, Country, Customer, CustomerID, Fax, Phone, PostalCode, CountryCode, ISO3CountryCode</t>
        </is>
      </c>
    </row>
    <row r="34">
      <c r="A34" s="37" t="inlineStr">
        <is>
          <t>Sales Analysis</t>
        </is>
      </c>
      <c r="B34" s="37" t="inlineStr">
        <is>
          <t>Products</t>
        </is>
      </c>
      <c r="C34" s="37" t="inlineStr">
        <is>
          <t>C:\Projects\Ferrari\QlikSense\Testing\simple_data\Customers and Categories.xlsx</t>
        </is>
      </c>
      <c r="D34" s="39" t="n">
        <v>77</v>
      </c>
      <c r="E34" s="39" t="n">
        <v>4</v>
      </c>
      <c r="F34" s="43" t="inlineStr">
        <is>
          <t>ProductID, CategoryID, ProductName, SupplierID</t>
        </is>
      </c>
    </row>
    <row r="35">
      <c r="A35" s="32" t="inlineStr">
        <is>
          <t>Sales Analysis</t>
        </is>
      </c>
      <c r="B35" s="32" t="inlineStr">
        <is>
          <t>Orders$</t>
        </is>
      </c>
      <c r="C35" s="32" t="inlineStr">
        <is>
          <t>C:\Projects\Ferrari\QlikSense\Testing\simple_data\Orders.xls</t>
        </is>
      </c>
      <c r="D35" s="34" t="n">
        <v>2172</v>
      </c>
      <c r="E35" s="34" t="n">
        <v>13</v>
      </c>
      <c r="F35" s="42" t="inlineStr">
        <is>
          <t>OrderID, OrderDate, CustomerID, EmployeeID, ShipperID, ProductID, Sales, COS, GP, Quantity, Discount, Freight, F13</t>
        </is>
      </c>
    </row>
    <row r="36">
      <c r="A36" s="37" t="inlineStr">
        <is>
          <t>TryConfigColorAndAgrField</t>
        </is>
      </c>
      <c r="B36" s="37" t="inlineStr">
        <is>
          <t>Data</t>
        </is>
      </c>
      <c r="C36" s="37" t="inlineStr">
        <is>
          <t>C:\Users\maksym.rybak\Documents\Qlik\Sense\INL2946.tmp</t>
        </is>
      </c>
      <c r="D36" s="39" t="n">
        <v>3</v>
      </c>
      <c r="E36" s="39" t="n">
        <v>3</v>
      </c>
      <c r="F36" s="43" t="inlineStr">
        <is>
          <t>NomeProdotto, PrezzoAcquisto, PrezzoRivendita</t>
        </is>
      </c>
    </row>
    <row r="37">
      <c r="A37" s="32" t="inlineStr">
        <is>
          <t>TryConfigColorAndAgrField</t>
        </is>
      </c>
      <c r="B37" s="32" t="inlineStr">
        <is>
          <t>TipiPrezzo</t>
        </is>
      </c>
      <c r="C37" s="32" t="inlineStr">
        <is>
          <t>C:\Users\maksym.rybak\Documents\Qlik\Sense\INL2947.tmp</t>
        </is>
      </c>
      <c r="D37" s="34" t="n">
        <v>2</v>
      </c>
      <c r="E37" s="34" t="n">
        <v>2</v>
      </c>
      <c r="F37" s="42" t="inlineStr">
        <is>
          <t>TipoPrezzo, DescTipoPrezzo</t>
        </is>
      </c>
    </row>
    <row r="38">
      <c r="A38" s="37" t="inlineStr">
        <is>
          <t>TryExtensions</t>
        </is>
      </c>
      <c r="B38" s="37" t="inlineStr">
        <is>
          <t>Characters</t>
        </is>
      </c>
      <c r="C38" s="37" t="inlineStr">
        <is>
          <t>AUTOGENERATE(26)</t>
        </is>
      </c>
      <c r="D38" s="39" t="n">
        <v>26</v>
      </c>
      <c r="E38" s="39" t="n">
        <v>2</v>
      </c>
      <c r="F38" s="43" t="inlineStr">
        <is>
          <t>Alpha, Num</t>
        </is>
      </c>
    </row>
    <row r="39">
      <c r="A39" s="32" t="inlineStr">
        <is>
          <t>TryExtensions</t>
        </is>
      </c>
      <c r="B39" s="32" t="inlineStr">
        <is>
          <t>ASCII</t>
        </is>
      </c>
      <c r="C39" s="32" t="inlineStr">
        <is>
          <t>AUTOGENERATE(255)</t>
        </is>
      </c>
      <c r="D39" s="34" t="n">
        <v>191</v>
      </c>
      <c r="E39" s="34" t="n">
        <v>3</v>
      </c>
      <c r="F39" s="42" t="inlineStr">
        <is>
          <t>Num, AsciiAlpha, AsciiNum</t>
        </is>
      </c>
    </row>
    <row r="40">
      <c r="A40" s="37" t="inlineStr">
        <is>
          <t>TryExtensions</t>
        </is>
      </c>
      <c r="B40" s="37" t="inlineStr">
        <is>
          <t>Transactions</t>
        </is>
      </c>
      <c r="C40" s="37" t="inlineStr">
        <is>
          <t>AUTOGENERATE(1000)</t>
        </is>
      </c>
      <c r="D40" s="39" t="n">
        <v>1947</v>
      </c>
      <c r="E40" s="39" t="n">
        <v>9</v>
      </c>
      <c r="F40" s="43" t="inlineStr">
        <is>
          <t>TransLineID, TransID, Num, Dim1, Dim2, Dim3, Expression1, Expression2, Expression3</t>
        </is>
      </c>
    </row>
    <row r="41">
      <c r="A41" s="32" t="inlineStr">
        <is>
          <t>TryExtensions</t>
        </is>
      </c>
      <c r="B41" s="32" t="inlineStr">
        <is>
          <t>INLFED</t>
        </is>
      </c>
      <c r="C41" s="32" t="inlineStr">
        <is>
          <t>C:\Users\maksym.rybak\Documents\Qlik\Sense\INLFEE6.tmp</t>
        </is>
      </c>
      <c r="D41" s="34" t="n">
        <v>12</v>
      </c>
      <c r="E41" s="34" t="n">
        <v>3</v>
      </c>
      <c r="F41" s="42" t="inlineStr">
        <is>
          <t>Month, Quarter, Import</t>
        </is>
      </c>
    </row>
    <row r="42">
      <c r="A42" s="37" t="inlineStr">
        <is>
          <t>Tutorial creazione nuova app</t>
        </is>
      </c>
      <c r="B42" s="37" t="inlineStr">
        <is>
          <t>Sales</t>
        </is>
      </c>
      <c r="C42" s="37" t="inlineStr">
        <is>
          <t>C:\Projects\Ferrari\QlikSense\Tutorials\Tutorial - Creazione di un'app\Tutorials source\Sales.xlsx</t>
        </is>
      </c>
      <c r="D42" s="39" t="n">
        <v>96466</v>
      </c>
      <c r="E42" s="39" t="n">
        <v>15</v>
      </c>
      <c r="F42" s="43" t="inlineStr">
        <is>
          <t>%KEY, Cost, Customer Number, Date, GrossSales, Invoice Date, Invoice Number, Item Desc, Item Number, Margin, Order Number, Promised Delivery Date, Sales, Sales Qty, Sales Rep Number</t>
        </is>
      </c>
    </row>
    <row r="43">
      <c r="A43" s="32" t="inlineStr">
        <is>
          <t>Tutorial creazione nuova app</t>
        </is>
      </c>
      <c r="B43" s="32" t="inlineStr">
        <is>
          <t>Item master</t>
        </is>
      </c>
      <c r="C43" s="32" t="inlineStr">
        <is>
          <t>C:\Projects\Ferrari\QlikSense\Tutorials\Tutorial - Creazione di un'app\Tutorials source\Item master.xlsx</t>
        </is>
      </c>
      <c r="D43" s="34" t="n">
        <v>827</v>
      </c>
      <c r="E43" s="34" t="n">
        <v>5</v>
      </c>
      <c r="F43" s="42" t="inlineStr">
        <is>
          <t>Item Number, Product Group, Product Line, Product Sub Group, Product Type</t>
        </is>
      </c>
    </row>
    <row r="44">
      <c r="A44" s="37" t="inlineStr">
        <is>
          <t>Tutorial creazione nuova app</t>
        </is>
      </c>
      <c r="B44" s="37" t="inlineStr">
        <is>
          <t>Cities</t>
        </is>
      </c>
      <c r="C44" s="37" t="inlineStr">
        <is>
          <t>C:\Projects\Ferrari\QlikSense\Tutorials\Tutorial - Creazione di un'app\Tutorials source\Cities.xlsx</t>
        </is>
      </c>
      <c r="D44" s="39" t="n">
        <v>100</v>
      </c>
      <c r="E44" s="39" t="n">
        <v>7</v>
      </c>
      <c r="F44" s="43" t="inlineStr">
        <is>
          <t>City, City Code, Region, Latitude, Longitude, Desc, Location</t>
        </is>
      </c>
    </row>
    <row r="45">
      <c r="A45" s="32" t="inlineStr">
        <is>
          <t>Tutorial creazione nuova app</t>
        </is>
      </c>
      <c r="B45" s="32" t="inlineStr">
        <is>
          <t>Sales rep</t>
        </is>
      </c>
      <c r="C45" s="32" t="inlineStr">
        <is>
          <t>C:\Projects\Ferrari\QlikSense\Tutorials\Tutorial - Creazione di un'app\Tutorials source\Sales rep.csv</t>
        </is>
      </c>
      <c r="D45" s="34" t="n">
        <v>64</v>
      </c>
      <c r="E45" s="34" t="n">
        <v>8</v>
      </c>
      <c r="F45" s="42" t="inlineStr">
        <is>
          <t>Manager, Manager Number, Path, Sales Rep Name, Sales Rep Name1, Sales Rep Name2, Sales Rep Name3, Sales Rep Number</t>
        </is>
      </c>
    </row>
    <row r="46">
      <c r="A46" s="37" t="inlineStr">
        <is>
          <t>Tutorial creazione nuova app</t>
        </is>
      </c>
      <c r="B46" s="37" t="inlineStr">
        <is>
          <t>Customer</t>
        </is>
      </c>
      <c r="C46" s="37" t="inlineStr">
        <is>
          <t>C:\Projects\Ferrari\QlikSense\Tutorials\Tutorial - Creazione di un'app\Tutorials source\Customers.xlsx</t>
        </is>
      </c>
      <c r="D46" s="39" t="n">
        <v>684</v>
      </c>
      <c r="E46" s="39" t="n">
        <v>3</v>
      </c>
      <c r="F46" s="43" t="inlineStr">
        <is>
          <t>Customer, Customer Number, City Code</t>
        </is>
      </c>
    </row>
    <row r="47">
      <c r="A47" s="32" t="inlineStr">
        <is>
          <t>Tutorial creazione nuova app</t>
        </is>
      </c>
      <c r="B47" s="32" t="inlineStr">
        <is>
          <t>MasterCalendar</t>
        </is>
      </c>
      <c r="C47" s="32" t="inlineStr">
        <is>
          <t>AUTOGENERATE(897)</t>
        </is>
      </c>
      <c r="D47" s="34" t="n">
        <v>897</v>
      </c>
      <c r="E47" s="34" t="n">
        <v>11</v>
      </c>
      <c r="F47" s="42" t="inlineStr">
        <is>
          <t>Date, Week, Year, Month, Day, CYTDFlag, LYTDFlag, MonthYear, Quarter, WeekYear, WeekDay</t>
        </is>
      </c>
    </row>
    <row r="48">
      <c r="A48" s="37" t="inlineStr">
        <is>
          <t>Tutorial creazione script</t>
        </is>
      </c>
      <c r="B48" s="37" t="inlineStr">
        <is>
          <t>Characters</t>
        </is>
      </c>
      <c r="C48" s="37" t="inlineStr">
        <is>
          <t>AUTOGENERATE(26)</t>
        </is>
      </c>
      <c r="D48" s="39" t="n">
        <v>26</v>
      </c>
      <c r="E48" s="39" t="n">
        <v>2</v>
      </c>
      <c r="F48" s="43" t="inlineStr">
        <is>
          <t>Alpha, Num</t>
        </is>
      </c>
    </row>
    <row r="49">
      <c r="A49" s="32" t="inlineStr">
        <is>
          <t>Tutorial creazione script</t>
        </is>
      </c>
      <c r="B49" s="32" t="inlineStr">
        <is>
          <t>ASCII</t>
        </is>
      </c>
      <c r="C49" s="32" t="inlineStr">
        <is>
          <t>AUTOGENERATE(255)</t>
        </is>
      </c>
      <c r="D49" s="34" t="n">
        <v>191</v>
      </c>
      <c r="E49" s="34" t="n">
        <v>3</v>
      </c>
      <c r="F49" s="42" t="inlineStr">
        <is>
          <t>Num, AsciiAlpha, AsciiNum</t>
        </is>
      </c>
    </row>
    <row r="50">
      <c r="A50" s="37" t="inlineStr">
        <is>
          <t>Tutorial creazione script</t>
        </is>
      </c>
      <c r="B50" s="37" t="inlineStr">
        <is>
          <t>Transactions</t>
        </is>
      </c>
      <c r="C50" s="37" t="inlineStr">
        <is>
          <t>AUTOGENERATE(1000)</t>
        </is>
      </c>
      <c r="D50" s="39" t="n">
        <v>1999</v>
      </c>
      <c r="E50" s="39" t="n">
        <v>9</v>
      </c>
      <c r="F50" s="43" t="inlineStr">
        <is>
          <t>TransLineID, TransID, Num, Dim1, Dim2, Dim3, Expression1, Expression2, Expression3</t>
        </is>
      </c>
    </row>
  </sheetData>
  <autoFilter ref="A6:F50"/>
  <mergeCells count="1">
    <mergeCell ref="C2:E3"/>
  </mergeCells>
  <pageMargins left="0.75" right="0.75" top="1" bottom="1" header="0.5" footer="0.5"/>
  <pageSetup orientation="landscape" fitToHeight="0" fitToWidth="1"/>
  <drawing xmlns:r="http://schemas.openxmlformats.org/officeDocument/2006/relationships" r:id="rId1"/>
</worksheet>
</file>

<file path=xl/worksheets/sheet15.xml><?xml version="1.0" encoding="utf-8"?>
<worksheet xmlns="http://schemas.openxmlformats.org/spreadsheetml/2006/main">
  <sheetPr>
    <tabColor rgb="002C4650"/>
    <outlinePr summaryBelow="1" summaryRight="1"/>
    <pageSetUpPr fitToPage="1"/>
  </sheetPr>
  <dimension ref="A2:G229"/>
  <sheetViews>
    <sheetView showGridLines="0" workbookViewId="0">
      <pane ySplit="6" topLeftCell="A7" activePane="bottomLeft" state="frozen"/>
      <selection pane="bottomLeft" activeCell="A1" sqref="A1"/>
    </sheetView>
  </sheetViews>
  <sheetFormatPr baseColWidth="8" defaultRowHeight="15"/>
  <cols>
    <col width="26" customWidth="1" min="1" max="1"/>
    <col width="28" customWidth="1" min="2" max="2"/>
    <col width="14" customWidth="1" min="3" max="3"/>
    <col width="28" customWidth="1" min="4" max="4"/>
    <col width="34" customWidth="1" min="5" max="5"/>
    <col width="18" customWidth="1" min="6" max="6"/>
    <col width="60" customWidth="1" min="7" max="7"/>
  </cols>
  <sheetData>
    <row r="1" ht="24" customHeight="1"/>
    <row r="2" ht="24" customHeight="1">
      <c r="C2" s="1" t="inlineStr">
        <is>
          <t>Fields  ·  the data models</t>
        </is>
      </c>
    </row>
    <row r="3" ht="20" customHeight="1"/>
    <row r="4" ht="10" customHeight="1"/>
    <row r="5" ht="18" customHeight="1">
      <c r="A5" s="29">
        <f>HYPERLINK("#'Discovery'!A1","«  Back to Discovery")</f>
        <v/>
      </c>
      <c r="B5" s="30" t="inlineStr">
        <is>
          <t>Data-model fields with distinct values, tables, tags and sample values.</t>
        </is>
      </c>
    </row>
    <row r="6" ht="30" customHeight="1">
      <c r="A6" s="31" t="inlineStr">
        <is>
          <t>App</t>
        </is>
      </c>
      <c r="B6" s="31" t="inlineStr">
        <is>
          <t>Field</t>
        </is>
      </c>
      <c r="C6" s="31" t="inlineStr">
        <is>
          <t>Distinct values</t>
        </is>
      </c>
      <c r="D6" s="31" t="inlineStr">
        <is>
          <t>In tables</t>
        </is>
      </c>
      <c r="E6" s="31" t="inlineStr">
        <is>
          <t>Tags</t>
        </is>
      </c>
      <c r="F6" s="31" t="inlineStr">
        <is>
          <t>Number format</t>
        </is>
      </c>
      <c r="G6" s="31" t="inlineStr">
        <is>
          <t>Sample values</t>
        </is>
      </c>
    </row>
    <row r="7">
      <c r="A7" s="32" t="inlineStr">
        <is>
          <t>Executive Dashboard</t>
        </is>
      </c>
      <c r="B7" s="32" t="inlineStr">
        <is>
          <t>AccountGroup</t>
        </is>
      </c>
      <c r="C7" s="34" t="n">
        <v>23</v>
      </c>
      <c r="D7" s="32" t="inlineStr">
        <is>
          <t>AccountGroupMaster, AccountMaster</t>
        </is>
      </c>
      <c r="E7" s="32" t="inlineStr"/>
      <c r="F7" s="32" t="inlineStr"/>
      <c r="G7" s="42" t="inlineStr">
        <is>
          <t>61999, 69999, 71999, 74999, 75999, 11999, 12999, 15999</t>
        </is>
      </c>
    </row>
    <row r="8">
      <c r="A8" s="37" t="inlineStr">
        <is>
          <t>Executive Dashboard</t>
        </is>
      </c>
      <c r="B8" s="37" t="inlineStr">
        <is>
          <t>AccountGroupDesc</t>
        </is>
      </c>
      <c r="C8" s="39" t="n">
        <v>3</v>
      </c>
      <c r="D8" s="37" t="inlineStr">
        <is>
          <t>AccountGroupMaster</t>
        </is>
      </c>
      <c r="E8" s="37" t="inlineStr"/>
      <c r="F8" s="37" t="inlineStr"/>
      <c r="G8" s="43" t="inlineStr">
        <is>
          <t>Staff Costs, General Costs, Other Costs</t>
        </is>
      </c>
    </row>
    <row r="9">
      <c r="A9" s="32" t="inlineStr">
        <is>
          <t>Executive Dashboard</t>
        </is>
      </c>
      <c r="B9" s="32" t="inlineStr">
        <is>
          <t>Account</t>
        </is>
      </c>
      <c r="C9" s="34" t="n">
        <v>103</v>
      </c>
      <c r="D9" s="32" t="inlineStr">
        <is>
          <t>AccountMaster, Expenses, Accounts</t>
        </is>
      </c>
      <c r="E9" s="32" t="inlineStr"/>
      <c r="F9" s="32" t="inlineStr"/>
      <c r="G9" s="42" t="inlineStr">
        <is>
          <t>61099, 61199, 61299, 61399, 61499, 61599, 61699, 62099</t>
        </is>
      </c>
    </row>
    <row r="10">
      <c r="A10" s="37" t="inlineStr">
        <is>
          <t>Executive Dashboard</t>
        </is>
      </c>
      <c r="B10" s="37" t="inlineStr">
        <is>
          <t>MonthlyRegionKey</t>
        </is>
      </c>
      <c r="C10" s="39" t="n">
        <v>252</v>
      </c>
      <c r="D10" s="37" t="inlineStr">
        <is>
          <t>Budget, FactTable, Expenses</t>
        </is>
      </c>
      <c r="E10" s="37" t="inlineStr"/>
      <c r="F10" s="37" t="inlineStr"/>
      <c r="G10" s="43" t="inlineStr">
        <is>
          <t>Africa_201101, Africa_201102, Africa_201103, Africa_201104, Africa_201105, Africa_201106, Africa_201107, Africa_201108</t>
        </is>
      </c>
    </row>
    <row r="11">
      <c r="A11" s="32" t="inlineStr">
        <is>
          <t>Executive Dashboard</t>
        </is>
      </c>
      <c r="B11" s="32" t="inlineStr">
        <is>
          <t>Budget Amount</t>
        </is>
      </c>
      <c r="C11" s="34" t="n">
        <v>185</v>
      </c>
      <c r="D11" s="32" t="inlineStr">
        <is>
          <t>Budget</t>
        </is>
      </c>
      <c r="E11" s="32" t="inlineStr"/>
      <c r="F11" s="32" t="inlineStr"/>
      <c r="G11" s="42" t="inlineStr">
        <is>
          <t>67900, 65100, 51000, 20600, 16200, 55000, 62900, 72800</t>
        </is>
      </c>
    </row>
    <row r="12">
      <c r="A12" s="37" t="inlineStr">
        <is>
          <t>Executive Dashboard</t>
        </is>
      </c>
      <c r="B12" s="37" t="inlineStr">
        <is>
          <t>Line Desc 1</t>
        </is>
      </c>
      <c r="C12" s="39" t="n">
        <v>824</v>
      </c>
      <c r="D12" s="37" t="inlineStr">
        <is>
          <t>InventoryBalances, FactTable</t>
        </is>
      </c>
      <c r="E12" s="37" t="inlineStr"/>
      <c r="F12" s="37" t="inlineStr"/>
      <c r="G12" s="43" t="inlineStr">
        <is>
          <t>Ebony Sweet Peas, High Top Fresh Lima Beans, Bravo Fancy Canned Oysters, Gorilla 1% Milk, Nationeel Corn Chips, Nationeel Raisins, Washington Diet Cola, Best Choice Frosted Donuts</t>
        </is>
      </c>
    </row>
    <row r="13">
      <c r="A13" s="32" t="inlineStr">
        <is>
          <t>Executive Dashboard</t>
        </is>
      </c>
      <c r="B13" s="32" t="inlineStr">
        <is>
          <t>ClassTurns</t>
        </is>
      </c>
      <c r="C13" s="34" t="n">
        <v>22</v>
      </c>
      <c r="D13" s="32" t="inlineStr">
        <is>
          <t>InventoryBalances</t>
        </is>
      </c>
      <c r="E13" s="32" t="inlineStr"/>
      <c r="F13" s="32" t="inlineStr"/>
      <c r="G13" s="42" t="inlineStr">
        <is>
          <t>48 &lt;= Turns &lt; 51, 9 &lt;= Turns &lt; 12, 0 &lt;= Turns &lt; 3, 6 &lt;= Turns &lt; 9, 3 &lt;= Turns &lt; 6, 15 &lt;= Turns &lt; 18, 30 &lt;= Turns &lt; 33, 21 &lt;= Turns &lt; 24</t>
        </is>
      </c>
    </row>
    <row r="14">
      <c r="A14" s="37" t="inlineStr">
        <is>
          <t>Executive Dashboard</t>
        </is>
      </c>
      <c r="B14" s="37" t="inlineStr">
        <is>
          <t>ThroughputQty</t>
        </is>
      </c>
      <c r="C14" s="39" t="n">
        <v>457</v>
      </c>
      <c r="D14" s="37" t="inlineStr">
        <is>
          <t>InventoryBalances</t>
        </is>
      </c>
      <c r="E14" s="37" t="inlineStr"/>
      <c r="F14" s="37" t="inlineStr"/>
      <c r="G14" s="43" t="inlineStr">
        <is>
          <t>6480, 547, 142, 468, 1547, 276, 10539, 816</t>
        </is>
      </c>
    </row>
    <row r="15">
      <c r="A15" s="32" t="inlineStr">
        <is>
          <t>Executive Dashboard</t>
        </is>
      </c>
      <c r="B15" s="32" t="inlineStr">
        <is>
          <t>CostPrice</t>
        </is>
      </c>
      <c r="C15" s="34" t="n">
        <v>711</v>
      </c>
      <c r="D15" s="32" t="inlineStr">
        <is>
          <t>InventoryBalances</t>
        </is>
      </c>
      <c r="E15" s="32" t="inlineStr"/>
      <c r="F15" s="32" t="inlineStr"/>
      <c r="G15" s="42" t="inlineStr">
        <is>
          <t>62.36, 9.98, 26.71, 41.65, 16.11, 19.76, 2, 12.97</t>
        </is>
      </c>
    </row>
    <row r="16">
      <c r="A16" s="37" t="inlineStr">
        <is>
          <t>Executive Dashboard</t>
        </is>
      </c>
      <c r="B16" s="37" t="inlineStr">
        <is>
          <t>StockOH</t>
        </is>
      </c>
      <c r="C16" s="39" t="n">
        <v>263</v>
      </c>
      <c r="D16" s="37" t="inlineStr">
        <is>
          <t>InventoryBalances</t>
        </is>
      </c>
      <c r="E16" s="37" t="inlineStr"/>
      <c r="F16" s="37" t="inlineStr"/>
      <c r="G16" s="43" t="inlineStr">
        <is>
          <t>129.5, 54.5, 71, 58.5, 773.5, 69, 5269.5, 51</t>
        </is>
      </c>
    </row>
    <row r="17">
      <c r="A17" s="32" t="inlineStr">
        <is>
          <t>Executive Dashboard</t>
        </is>
      </c>
      <c r="B17" s="32" t="inlineStr">
        <is>
          <t>Product Group</t>
        </is>
      </c>
      <c r="C17" s="34" t="n">
        <v>17</v>
      </c>
      <c r="D17" s="32" t="inlineStr">
        <is>
          <t>ItemMaster, ProductGroupMaster</t>
        </is>
      </c>
      <c r="E17" s="32" t="inlineStr"/>
      <c r="F17" s="32" t="inlineStr"/>
      <c r="G17" s="42" t="inlineStr">
        <is>
          <t>1, 2, 3, 4, 5, 6, 7, 10</t>
        </is>
      </c>
    </row>
    <row r="18">
      <c r="A18" s="37" t="inlineStr">
        <is>
          <t>Executive Dashboard</t>
        </is>
      </c>
      <c r="B18" s="37" t="inlineStr">
        <is>
          <t>Product Line</t>
        </is>
      </c>
      <c r="C18" s="39" t="n">
        <v>2</v>
      </c>
      <c r="D18" s="37" t="inlineStr">
        <is>
          <t>ItemMaster</t>
        </is>
      </c>
      <c r="E18" s="37" t="inlineStr"/>
      <c r="F18" s="37" t="inlineStr"/>
      <c r="G18" s="43" t="inlineStr">
        <is>
          <t>2, 1</t>
        </is>
      </c>
    </row>
    <row r="19">
      <c r="A19" s="32" t="inlineStr">
        <is>
          <t>Executive Dashboard</t>
        </is>
      </c>
      <c r="B19" s="32" t="inlineStr">
        <is>
          <t>Product Sub Group</t>
        </is>
      </c>
      <c r="C19" s="34" t="n">
        <v>70</v>
      </c>
      <c r="D19" s="32" t="inlineStr">
        <is>
          <t>ItemMaster, ProductSubGroupMaster</t>
        </is>
      </c>
      <c r="E19" s="32" t="inlineStr"/>
      <c r="F19" s="32" t="inlineStr"/>
      <c r="G19" s="42" t="inlineStr">
        <is>
          <t>43, 44, 25, 26, 27, 4, 31, 32</t>
        </is>
      </c>
    </row>
    <row r="20">
      <c r="A20" s="37" t="inlineStr">
        <is>
          <t>Executive Dashboard</t>
        </is>
      </c>
      <c r="B20" s="37" t="inlineStr">
        <is>
          <t>Product Type</t>
        </is>
      </c>
      <c r="C20" s="39" t="n">
        <v>31</v>
      </c>
      <c r="D20" s="37" t="inlineStr">
        <is>
          <t>ItemMaster, ProductTypeMaster</t>
        </is>
      </c>
      <c r="E20" s="37" t="inlineStr"/>
      <c r="F20" s="37" t="inlineStr"/>
      <c r="G20" s="43" t="inlineStr">
        <is>
          <t>3, 4, 1, 30, 15, 41, 28, 20</t>
        </is>
      </c>
    </row>
    <row r="21">
      <c r="A21" s="32" t="inlineStr">
        <is>
          <t>Executive Dashboard</t>
        </is>
      </c>
      <c r="B21" s="32" t="inlineStr">
        <is>
          <t>Short Name</t>
        </is>
      </c>
      <c r="C21" s="34" t="n">
        <v>826</v>
      </c>
      <c r="D21" s="32" t="inlineStr">
        <is>
          <t>ItemMaster, ItemBranchMaster</t>
        </is>
      </c>
      <c r="E21" s="32" t="inlineStr"/>
      <c r="F21" s="32" t="inlineStr"/>
      <c r="G21" s="42" t="inlineStr">
        <is>
          <t>10266, 10273, 10577, 10584, 10893, 10900, 10267, 10268</t>
        </is>
      </c>
    </row>
    <row r="22">
      <c r="A22" s="37" t="inlineStr">
        <is>
          <t>Executive Dashboard</t>
        </is>
      </c>
      <c r="B22" s="37" t="inlineStr">
        <is>
          <t>Product Sub Group Desc</t>
        </is>
      </c>
      <c r="C22" s="39" t="n">
        <v>70</v>
      </c>
      <c r="D22" s="37" t="inlineStr">
        <is>
          <t>ProductSubGroupMaster</t>
        </is>
      </c>
      <c r="E22" s="37" t="inlineStr"/>
      <c r="F22" s="37" t="inlineStr"/>
      <c r="G22" s="43" t="inlineStr">
        <is>
          <t>Beer, Wine, Bagels, Muffins, Sliced Bread, Spices, Jelly, Jam</t>
        </is>
      </c>
    </row>
    <row r="23">
      <c r="A23" s="32" t="inlineStr">
        <is>
          <t>Executive Dashboard</t>
        </is>
      </c>
      <c r="B23" s="32" t="inlineStr">
        <is>
          <t>Product Type Desc</t>
        </is>
      </c>
      <c r="C23" s="34" t="n">
        <v>31</v>
      </c>
      <c r="D23" s="32" t="inlineStr">
        <is>
          <t>ProductTypeMaster</t>
        </is>
      </c>
      <c r="E23" s="32" t="inlineStr"/>
      <c r="F23" s="32" t="inlineStr"/>
      <c r="G23" s="42" t="inlineStr">
        <is>
          <t>Beer and Wine, Bread, Baking Goods, Jams and Jellies, Carbonated Beverages, Pure Juice Beverages, Hot Beverages, Drinks</t>
        </is>
      </c>
    </row>
    <row r="24">
      <c r="A24" s="37" t="inlineStr">
        <is>
          <t>Executive Dashboard</t>
        </is>
      </c>
      <c r="B24" s="37" t="inlineStr">
        <is>
          <t>Product Group Desc</t>
        </is>
      </c>
      <c r="C24" s="39" t="n">
        <v>17</v>
      </c>
      <c r="D24" s="37" t="inlineStr">
        <is>
          <t>ProductGroupMaster</t>
        </is>
      </c>
      <c r="E24" s="37" t="inlineStr"/>
      <c r="F24" s="37" t="inlineStr"/>
      <c r="G24" s="43" t="inlineStr">
        <is>
          <t>Alcoholic Beverages, Baked Goods, Baking Goods, Beverages, Breakfast Foods, Canned Foods, Canned Products, Dairy</t>
        </is>
      </c>
    </row>
    <row r="25">
      <c r="A25" s="32" t="inlineStr">
        <is>
          <t>Executive Dashboard</t>
        </is>
      </c>
      <c r="B25" s="32" t="inlineStr">
        <is>
          <t>Item-Branch Key</t>
        </is>
      </c>
      <c r="C25" s="34" t="n">
        <v>906</v>
      </c>
      <c r="D25" s="32" t="inlineStr">
        <is>
          <t>ItemBranchMaster, FactTable</t>
        </is>
      </c>
      <c r="E25" s="32" t="inlineStr"/>
      <c r="F25" s="32" t="inlineStr"/>
      <c r="G25" s="42" t="inlineStr">
        <is>
          <t>CR-10191, CR-10657, CR-10681, CR-10841, CR-10871, CR-10007, CR-10378, CR-10301</t>
        </is>
      </c>
    </row>
    <row r="26">
      <c r="A26" s="37" t="inlineStr">
        <is>
          <t>Executive Dashboard</t>
        </is>
      </c>
      <c r="B26" s="37" t="inlineStr">
        <is>
          <t>Sales Rep</t>
        </is>
      </c>
      <c r="C26" s="39" t="n">
        <v>64</v>
      </c>
      <c r="D26" s="37" t="inlineStr">
        <is>
          <t>SalesRepMaster, CustomerMaster</t>
        </is>
      </c>
      <c r="E26" s="37" t="inlineStr"/>
      <c r="F26" s="37" t="inlineStr"/>
      <c r="G26" s="43" t="inlineStr">
        <is>
          <t>103, 104, 105, 109, 110, 112, 113, 116</t>
        </is>
      </c>
    </row>
    <row r="27">
      <c r="A27" s="32" t="inlineStr">
        <is>
          <t>Executive Dashboard</t>
        </is>
      </c>
      <c r="B27" s="32" t="inlineStr">
        <is>
          <t>Sales Rep Name</t>
        </is>
      </c>
      <c r="C27" s="34" t="n">
        <v>63</v>
      </c>
      <c r="D27" s="32" t="inlineStr">
        <is>
          <t>SalesRepMaster</t>
        </is>
      </c>
      <c r="E27" s="32" t="inlineStr"/>
      <c r="F27" s="32" t="inlineStr"/>
      <c r="G27" s="42" t="inlineStr">
        <is>
          <t>Amalia Craig, Amanda Honda, Amelia Fields, Brenda Gibson, Brenda Kegler, Cart Lynch, Cary Frank, Craig Lary</t>
        </is>
      </c>
    </row>
    <row r="28">
      <c r="A28" s="37" t="inlineStr">
        <is>
          <t>Executive Dashboard</t>
        </is>
      </c>
      <c r="B28" s="37" t="inlineStr">
        <is>
          <t>Region</t>
        </is>
      </c>
      <c r="C28" s="39" t="n">
        <v>6</v>
      </c>
      <c r="D28" s="37" t="inlineStr">
        <is>
          <t>FactTable</t>
        </is>
      </c>
      <c r="E28" s="37" t="inlineStr"/>
      <c r="F28" s="37" t="inlineStr"/>
      <c r="G28" s="43" t="inlineStr">
        <is>
          <t>Americas, Africa, Pacific, Asia, Europe, Middle East</t>
        </is>
      </c>
    </row>
    <row r="29">
      <c r="A29" s="32" t="inlineStr">
        <is>
          <t>Executive Dashboard</t>
        </is>
      </c>
      <c r="B29" s="32" t="inlineStr">
        <is>
          <t>Address Number</t>
        </is>
      </c>
      <c r="C29" s="34" t="n">
        <v>130</v>
      </c>
      <c r="D29" s="32" t="inlineStr">
        <is>
          <t>FactTable, CustomerAddressMaster, CustomerMaster</t>
        </is>
      </c>
      <c r="E29" s="32" t="inlineStr"/>
      <c r="F29" s="32" t="inlineStr"/>
      <c r="G29" s="42" t="inlineStr">
        <is>
          <t>10000000, 10000455, 10000458, 10000466, 10000472, 10000473, 10002709, 10004245</t>
        </is>
      </c>
    </row>
    <row r="30">
      <c r="A30" s="37" t="inlineStr">
        <is>
          <t>Executive Dashboard</t>
        </is>
      </c>
      <c r="B30" s="37" t="inlineStr">
        <is>
          <t>CustKey</t>
        </is>
      </c>
      <c r="C30" s="39" t="n">
        <v>130</v>
      </c>
      <c r="D30" s="37" t="inlineStr">
        <is>
          <t>FactTable, CustomerMap</t>
        </is>
      </c>
      <c r="E30" s="37" t="inlineStr"/>
      <c r="F30" s="37" t="inlineStr"/>
      <c r="G30" s="43" t="inlineStr">
        <is>
          <t>10000000, 10000455, 10000458, 10000466, 10000472, 10000473, 10002709, 10004245</t>
        </is>
      </c>
    </row>
    <row r="31">
      <c r="A31" s="32" t="inlineStr">
        <is>
          <t>Executive Dashboard</t>
        </is>
      </c>
      <c r="B31" s="32" t="inlineStr">
        <is>
          <t>Invoice Number</t>
        </is>
      </c>
      <c r="C31" s="34" t="n">
        <v>18013</v>
      </c>
      <c r="D31" s="32" t="inlineStr">
        <is>
          <t>FactTable</t>
        </is>
      </c>
      <c r="E31" s="32" t="inlineStr"/>
      <c r="F31" s="32" t="inlineStr"/>
      <c r="G31" s="42" t="inlineStr">
        <is>
          <t>104290, 114836, 128382, 331488, 307551, 326470, 314176, 327731</t>
        </is>
      </c>
    </row>
    <row r="32">
      <c r="A32" s="37" t="inlineStr">
        <is>
          <t>Executive Dashboard</t>
        </is>
      </c>
      <c r="B32" s="37" t="inlineStr">
        <is>
          <t>Late Shipment</t>
        </is>
      </c>
      <c r="C32" s="39" t="n">
        <v>2</v>
      </c>
      <c r="D32" s="37" t="inlineStr">
        <is>
          <t>FactTable</t>
        </is>
      </c>
      <c r="E32" s="37" t="inlineStr"/>
      <c r="F32" s="37" t="inlineStr"/>
      <c r="G32" s="43" t="inlineStr">
        <is>
          <t>1, 0</t>
        </is>
      </c>
    </row>
    <row r="33">
      <c r="A33" s="32" t="inlineStr">
        <is>
          <t>Executive Dashboard</t>
        </is>
      </c>
      <c r="B33" s="32" t="inlineStr">
        <is>
          <t>Open Order Amount</t>
        </is>
      </c>
      <c r="C33" s="34" t="n">
        <v>781</v>
      </c>
      <c r="D33" s="32" t="inlineStr">
        <is>
          <t>FactTable</t>
        </is>
      </c>
      <c r="E33" s="32" t="inlineStr"/>
      <c r="F33" s="32" t="inlineStr"/>
      <c r="G33" s="42" t="inlineStr">
        <is>
          <t>1, 0, 199.6, 282.48, 60.300000000000004, 574.3000000000001, 236.46, 1113.34</t>
        </is>
      </c>
    </row>
    <row r="34">
      <c r="A34" s="37" t="inlineStr">
        <is>
          <t>Executive Dashboard</t>
        </is>
      </c>
      <c r="B34" s="37" t="inlineStr">
        <is>
          <t>Order Number</t>
        </is>
      </c>
      <c r="C34" s="39" t="n">
        <v>14369</v>
      </c>
      <c r="D34" s="37" t="inlineStr">
        <is>
          <t>FactTable</t>
        </is>
      </c>
      <c r="E34" s="37" t="inlineStr"/>
      <c r="F34" s="37" t="inlineStr"/>
      <c r="G34" s="43" t="inlineStr">
        <is>
          <t>309125, 309197, 204356, 211323, 222717, 125846, 106417, 119439</t>
        </is>
      </c>
    </row>
    <row r="35">
      <c r="A35" s="32" t="inlineStr">
        <is>
          <t>Executive Dashboard</t>
        </is>
      </c>
      <c r="B35" s="32" t="inlineStr">
        <is>
          <t>Order Status</t>
        </is>
      </c>
      <c r="C35" s="34" t="n">
        <v>4</v>
      </c>
      <c r="D35" s="32" t="inlineStr">
        <is>
          <t>FactTable</t>
        </is>
      </c>
      <c r="E35" s="32" t="inlineStr"/>
      <c r="F35" s="32" t="inlineStr"/>
      <c r="G35" s="42" t="inlineStr">
        <is>
          <t>OPEN, INVOICED, CENCELLED, BACK ORDER</t>
        </is>
      </c>
    </row>
    <row r="36">
      <c r="A36" s="37" t="inlineStr">
        <is>
          <t>Executive Dashboard</t>
        </is>
      </c>
      <c r="B36" s="37" t="inlineStr">
        <is>
          <t>OrderDate</t>
        </is>
      </c>
      <c r="C36" s="39" t="n">
        <v>666</v>
      </c>
      <c r="D36" s="37" t="inlineStr">
        <is>
          <t>FactTable</t>
        </is>
      </c>
      <c r="E36" s="37" t="inlineStr"/>
      <c r="F36" s="37" t="inlineStr"/>
      <c r="G36" s="43" t="inlineStr">
        <is>
          <t>2/3/2014, 4/2/2014, 4/7/2013, 8/5/2013, 10/7/2013, 2/27/2012, 5/27/2012, 2/10/2012</t>
        </is>
      </c>
    </row>
    <row r="37">
      <c r="A37" s="32" t="inlineStr">
        <is>
          <t>Executive Dashboard</t>
        </is>
      </c>
      <c r="B37" s="32" t="inlineStr">
        <is>
          <t>OrderID</t>
        </is>
      </c>
      <c r="C37" s="34" t="n">
        <v>57243</v>
      </c>
      <c r="D37" s="32" t="inlineStr">
        <is>
          <t>FactTable</t>
        </is>
      </c>
      <c r="E37" s="32" t="inlineStr"/>
      <c r="F37" s="32" t="inlineStr"/>
      <c r="G37" s="42" t="inlineStr">
        <is>
          <t>59767, 59839, 29689, 39660, 39661, 45945, 5577, 10119</t>
        </is>
      </c>
    </row>
    <row r="38">
      <c r="A38" s="37" t="inlineStr">
        <is>
          <t>Executive Dashboard</t>
        </is>
      </c>
      <c r="B38" s="37" t="inlineStr">
        <is>
          <t>OrderStat</t>
        </is>
      </c>
      <c r="C38" s="39" t="n">
        <v>4</v>
      </c>
      <c r="D38" s="37" t="inlineStr">
        <is>
          <t>FactTable</t>
        </is>
      </c>
      <c r="E38" s="37" t="inlineStr"/>
      <c r="F38" s="37" t="inlineStr"/>
      <c r="G38" s="43" t="inlineStr">
        <is>
          <t>Open, Invoiced, Cancelled, Back Order</t>
        </is>
      </c>
    </row>
    <row r="39">
      <c r="A39" s="32" t="inlineStr">
        <is>
          <t>Executive Dashboard</t>
        </is>
      </c>
      <c r="B39" s="32" t="inlineStr">
        <is>
          <t>Promised Delivery Date</t>
        </is>
      </c>
      <c r="C39" s="34" t="n">
        <v>0</v>
      </c>
      <c r="D39" s="32" t="inlineStr">
        <is>
          <t>FactTable</t>
        </is>
      </c>
      <c r="E39" s="32" t="inlineStr"/>
      <c r="F39" s="32" t="inlineStr"/>
      <c r="G39" s="42" t="inlineStr"/>
    </row>
    <row r="40">
      <c r="A40" s="37" t="inlineStr">
        <is>
          <t>Executive Dashboard</t>
        </is>
      </c>
      <c r="B40" s="37" t="inlineStr">
        <is>
          <t>Sales Amount</t>
        </is>
      </c>
      <c r="C40" s="39" t="n">
        <v>14561</v>
      </c>
      <c r="D40" s="37" t="inlineStr">
        <is>
          <t>FactTable</t>
        </is>
      </c>
      <c r="E40" s="37" t="inlineStr"/>
      <c r="F40" s="37" t="inlineStr"/>
      <c r="G40" s="43" t="inlineStr">
        <is>
          <t>6.3500000000000005, 0, 35.410000000000004, 61.980000000000004, 151.43, 101.54, 129.79, -40.660000000000004</t>
        </is>
      </c>
    </row>
    <row r="41">
      <c r="A41" s="32" t="inlineStr">
        <is>
          <t>Executive Dashboard</t>
        </is>
      </c>
      <c r="B41" s="32" t="inlineStr">
        <is>
          <t>Sales Cost Amount</t>
        </is>
      </c>
      <c r="C41" s="34" t="n">
        <v>7846</v>
      </c>
      <c r="D41" s="32" t="inlineStr">
        <is>
          <t>FactTable</t>
        </is>
      </c>
      <c r="E41" s="32" t="inlineStr"/>
      <c r="F41" s="32" t="inlineStr"/>
      <c r="G41" s="42" t="inlineStr">
        <is>
          <t>0, 16.830000000000002, 22.28, 105.18, 65.73, 85.35000000000001, 166.94, 66.28</t>
        </is>
      </c>
    </row>
    <row r="42">
      <c r="A42" s="37" t="inlineStr">
        <is>
          <t>Executive Dashboard</t>
        </is>
      </c>
      <c r="B42" s="37" t="inlineStr">
        <is>
          <t>Sales Margin Amount</t>
        </is>
      </c>
      <c r="C42" s="39" t="n">
        <v>15879</v>
      </c>
      <c r="D42" s="37" t="inlineStr">
        <is>
          <t>FactTable</t>
        </is>
      </c>
      <c r="E42" s="37" t="inlineStr"/>
      <c r="F42" s="37" t="inlineStr"/>
      <c r="G42" s="43" t="inlineStr">
        <is>
          <t>6.35, 0, 18.58, 39.7, 46.25, 35.81, 44.44, -40.66</t>
        </is>
      </c>
    </row>
    <row r="43">
      <c r="A43" s="32" t="inlineStr">
        <is>
          <t>Executive Dashboard</t>
        </is>
      </c>
      <c r="B43" s="32" t="inlineStr">
        <is>
          <t>Sales Price</t>
        </is>
      </c>
      <c r="C43" s="34" t="n">
        <v>7695</v>
      </c>
      <c r="D43" s="32" t="inlineStr">
        <is>
          <t>FactTable</t>
        </is>
      </c>
      <c r="E43" s="32" t="inlineStr"/>
      <c r="F43" s="32" t="inlineStr">
        <is>
          <t>$#,##0.00;($#,##0.00)</t>
        </is>
      </c>
      <c r="G43" s="42" t="inlineStr">
        <is>
          <t>6.3500000000000005, 0, 35.410000000000004, 20.66, 75.71000000000001, 101.54, 129.78, 40.660000000000004</t>
        </is>
      </c>
    </row>
    <row r="44">
      <c r="A44" s="37" t="inlineStr">
        <is>
          <t>Executive Dashboard</t>
        </is>
      </c>
      <c r="B44" s="37" t="inlineStr">
        <is>
          <t>Sales Quantity</t>
        </is>
      </c>
      <c r="C44" s="39" t="n">
        <v>306</v>
      </c>
      <c r="D44" s="37" t="inlineStr">
        <is>
          <t>FactTable</t>
        </is>
      </c>
      <c r="E44" s="37" t="inlineStr"/>
      <c r="F44" s="37" t="inlineStr"/>
      <c r="G44" s="43" t="inlineStr">
        <is>
          <t>1, 3, 2, -1, 5, 10, -15, 12</t>
        </is>
      </c>
    </row>
    <row r="45">
      <c r="A45" s="32" t="inlineStr">
        <is>
          <t>Executive Dashboard</t>
        </is>
      </c>
      <c r="B45" s="32" t="inlineStr">
        <is>
          <t>Ship To</t>
        </is>
      </c>
      <c r="C45" s="34" t="n">
        <v>429</v>
      </c>
      <c r="D45" s="32" t="inlineStr">
        <is>
          <t>FactTable</t>
        </is>
      </c>
      <c r="E45" s="32" t="inlineStr"/>
      <c r="F45" s="32" t="inlineStr"/>
      <c r="G45" s="42" t="inlineStr">
        <is>
          <t>101032, 10000000, 10000455, 10000458, 101205, 101196, 101684, 100867</t>
        </is>
      </c>
    </row>
    <row r="46">
      <c r="A46" s="37" t="inlineStr">
        <is>
          <t>Executive Dashboard</t>
        </is>
      </c>
      <c r="B46" s="37" t="inlineStr">
        <is>
          <t>YYYYMM</t>
        </is>
      </c>
      <c r="C46" s="39" t="n">
        <v>36</v>
      </c>
      <c r="D46" s="37" t="inlineStr">
        <is>
          <t>FactTable, HistoryFlag, Calendar</t>
        </is>
      </c>
      <c r="E46" s="37" t="inlineStr"/>
      <c r="F46" s="37" t="inlineStr"/>
      <c r="G46" s="43" t="inlineStr">
        <is>
          <t>41518, 41579, 41609, 41548, 41487, 40634, 40940, 41030</t>
        </is>
      </c>
    </row>
    <row r="47">
      <c r="A47" s="32" t="inlineStr">
        <is>
          <t>Executive Dashboard</t>
        </is>
      </c>
      <c r="B47" s="32" t="inlineStr">
        <is>
          <t>ExpenseActual</t>
        </is>
      </c>
      <c r="C47" s="34" t="n">
        <v>5013</v>
      </c>
      <c r="D47" s="32" t="inlineStr">
        <is>
          <t>Expenses</t>
        </is>
      </c>
      <c r="E47" s="32" t="inlineStr"/>
      <c r="F47" s="32" t="inlineStr">
        <is>
          <t>###0</t>
        </is>
      </c>
      <c r="G47" s="42" t="inlineStr">
        <is>
          <t>2170.86, 1894.73, 2218.04, 1976.48, 2076.7200000000003, 2109.51, 2042.79, 2210.64</t>
        </is>
      </c>
    </row>
    <row r="48">
      <c r="A48" s="37" t="inlineStr">
        <is>
          <t>Executive Dashboard</t>
        </is>
      </c>
      <c r="B48" s="37" t="inlineStr">
        <is>
          <t>ExpenseBudget</t>
        </is>
      </c>
      <c r="C48" s="39" t="n">
        <v>2816</v>
      </c>
      <c r="D48" s="37" t="inlineStr">
        <is>
          <t>Expenses</t>
        </is>
      </c>
      <c r="E48" s="37" t="inlineStr"/>
      <c r="F48" s="37" t="inlineStr">
        <is>
          <t>###0</t>
        </is>
      </c>
      <c r="G48" s="43" t="inlineStr">
        <is>
          <t>2180.1, 2202.53, 2203.67, 2297.92, 2298.64, 2299.1, 2300.51, 2301.67</t>
        </is>
      </c>
    </row>
    <row r="49">
      <c r="A49" s="32" t="inlineStr">
        <is>
          <t>Executive Dashboard</t>
        </is>
      </c>
      <c r="B49" s="32" t="inlineStr">
        <is>
          <t>_HistoryFlag</t>
        </is>
      </c>
      <c r="C49" s="34" t="n">
        <v>2</v>
      </c>
      <c r="D49" s="32" t="inlineStr">
        <is>
          <t>HistoryFlag</t>
        </is>
      </c>
      <c r="E49" s="32" t="inlineStr"/>
      <c r="F49" s="32" t="inlineStr"/>
      <c r="G49" s="42" t="inlineStr">
        <is>
          <t>0, 1</t>
        </is>
      </c>
    </row>
    <row r="50">
      <c r="A50" s="37" t="inlineStr">
        <is>
          <t>Executive Dashboard</t>
        </is>
      </c>
      <c r="B50" s="37" t="inlineStr">
        <is>
          <t>AccountDesc</t>
        </is>
      </c>
      <c r="C50" s="39" t="n">
        <v>45</v>
      </c>
      <c r="D50" s="37" t="inlineStr">
        <is>
          <t>Accounts</t>
        </is>
      </c>
      <c r="E50" s="37" t="inlineStr"/>
      <c r="F50" s="37" t="inlineStr"/>
      <c r="G50" s="43" t="inlineStr">
        <is>
          <t>Salaries and Wages, Overtime, Staff Temporary, Bonus, Reps Commission, Salary On Costs, Staff Benefits, Local Advertising</t>
        </is>
      </c>
    </row>
    <row r="51">
      <c r="A51" s="32" t="inlineStr">
        <is>
          <t>Executive Dashboard</t>
        </is>
      </c>
      <c r="B51" s="32" t="inlineStr">
        <is>
          <t>Customer Address 1</t>
        </is>
      </c>
      <c r="C51" s="34" t="n">
        <v>120</v>
      </c>
      <c r="D51" s="32" t="inlineStr">
        <is>
          <t>CustomerAddressMaster</t>
        </is>
      </c>
      <c r="E51" s="32" t="inlineStr"/>
      <c r="F51" s="32" t="inlineStr"/>
      <c r="G51" s="42" t="inlineStr">
        <is>
          <t>4747 N Channel Ave, 167 East Kalamazoo Avenue, Worldwide Purchasing, RR1 Box 9, 3248 Auburn Boulevard, 6025 Corridor Parkway, 8901 Montana Avenue, PO Box 762</t>
        </is>
      </c>
    </row>
    <row r="52">
      <c r="A52" s="37" t="inlineStr">
        <is>
          <t>Executive Dashboard</t>
        </is>
      </c>
      <c r="B52" s="37" t="inlineStr">
        <is>
          <t>Zip Code</t>
        </is>
      </c>
      <c r="C52" s="39" t="n">
        <v>116</v>
      </c>
      <c r="D52" s="37" t="inlineStr">
        <is>
          <t>CustomerAddressMaster</t>
        </is>
      </c>
      <c r="E52" s="37" t="inlineStr"/>
      <c r="F52" s="37" t="inlineStr"/>
      <c r="G52" s="43" t="inlineStr">
        <is>
          <t>97208-3591, 49007, 48083, 56744, 95821, 78154-3214, 79925, 90630</t>
        </is>
      </c>
    </row>
    <row r="53">
      <c r="A53" s="32" t="inlineStr">
        <is>
          <t>Executive Dashboard</t>
        </is>
      </c>
      <c r="B53" s="32" t="inlineStr">
        <is>
          <t>CustKeyAR</t>
        </is>
      </c>
      <c r="C53" s="34" t="n">
        <v>73</v>
      </c>
      <c r="D53" s="32" t="inlineStr">
        <is>
          <t>CustomerMap, ARSummary, ARSummary-1</t>
        </is>
      </c>
      <c r="E53" s="32" t="inlineStr"/>
      <c r="F53" s="32" t="inlineStr"/>
      <c r="G53" s="42" t="inlineStr">
        <is>
          <t>99985, 28, 64693, 55, 462, 96900, 42, 93333</t>
        </is>
      </c>
    </row>
    <row r="54">
      <c r="A54" s="37" t="inlineStr">
        <is>
          <t>Executive Dashboard</t>
        </is>
      </c>
      <c r="B54" s="37" t="inlineStr">
        <is>
          <t>Business Family</t>
        </is>
      </c>
      <c r="C54" s="39" t="n">
        <v>6</v>
      </c>
      <c r="D54" s="37" t="inlineStr">
        <is>
          <t>CustomerMaster</t>
        </is>
      </c>
      <c r="E54" s="37" t="inlineStr"/>
      <c r="F54" s="37" t="inlineStr"/>
      <c r="G54" s="43" t="inlineStr">
        <is>
          <t>R2, R3, R1, O2, O1, R4</t>
        </is>
      </c>
    </row>
    <row r="55">
      <c r="A55" s="32" t="inlineStr">
        <is>
          <t>Executive Dashboard</t>
        </is>
      </c>
      <c r="B55" s="32" t="inlineStr">
        <is>
          <t>Segment</t>
        </is>
      </c>
      <c r="C55" s="34" t="n">
        <v>8</v>
      </c>
      <c r="D55" s="32" t="inlineStr">
        <is>
          <t>CustomerMaster, ChannelMaster</t>
        </is>
      </c>
      <c r="E55" s="32" t="inlineStr"/>
      <c r="F55" s="32" t="inlineStr"/>
      <c r="G55" s="42" t="inlineStr">
        <is>
          <t>C1, C7, C6, C4, C2, C3, C8, C9</t>
        </is>
      </c>
    </row>
    <row r="56">
      <c r="A56" s="37" t="inlineStr">
        <is>
          <t>Executive Dashboard</t>
        </is>
      </c>
      <c r="B56" s="37" t="inlineStr">
        <is>
          <t>Customer</t>
        </is>
      </c>
      <c r="C56" s="39" t="n">
        <v>130</v>
      </c>
      <c r="D56" s="37" t="inlineStr">
        <is>
          <t>CustomerMaster</t>
        </is>
      </c>
      <c r="E56" s="37" t="inlineStr"/>
      <c r="F56" s="37" t="inlineStr"/>
      <c r="G56" s="43" t="inlineStr">
        <is>
          <t>Ben and Jerry’s, Deak-Perera Group., Fill It, Fins, Hetrick Systems, Homebound, Idyllwild, J. S. Lee Associates</t>
        </is>
      </c>
    </row>
    <row r="57">
      <c r="A57" s="32" t="inlineStr">
        <is>
          <t>Executive Dashboard</t>
        </is>
      </c>
      <c r="B57" s="32" t="inlineStr">
        <is>
          <t>Customer Number</t>
        </is>
      </c>
      <c r="C57" s="34" t="n">
        <v>130</v>
      </c>
      <c r="D57" s="32" t="inlineStr">
        <is>
          <t>CustomerMaster</t>
        </is>
      </c>
      <c r="E57" s="32" t="inlineStr"/>
      <c r="F57" s="32" t="inlineStr"/>
      <c r="G57" s="42" t="inlineStr">
        <is>
          <t>10004245, 10009676, 10012226, 10012425, 10015793, 10016588, 10017314, 10017828</t>
        </is>
      </c>
    </row>
    <row r="58">
      <c r="A58" s="37" t="inlineStr">
        <is>
          <t>Executive Dashboard</t>
        </is>
      </c>
      <c r="B58" s="37" t="inlineStr">
        <is>
          <t>Customer Type</t>
        </is>
      </c>
      <c r="C58" s="39" t="n">
        <v>2</v>
      </c>
      <c r="D58" s="37" t="inlineStr">
        <is>
          <t>CustomerMaster</t>
        </is>
      </c>
      <c r="E58" s="37" t="inlineStr"/>
      <c r="F58" s="37" t="inlineStr"/>
      <c r="G58" s="43" t="inlineStr">
        <is>
          <t>G2, G3</t>
        </is>
      </c>
    </row>
    <row r="59">
      <c r="A59" s="32" t="inlineStr">
        <is>
          <t>Executive Dashboard</t>
        </is>
      </c>
      <c r="B59" s="32" t="inlineStr">
        <is>
          <t>Distribution Channel Mgr</t>
        </is>
      </c>
      <c r="C59" s="34" t="n">
        <v>5</v>
      </c>
      <c r="D59" s="32" t="inlineStr">
        <is>
          <t>CustomerMaster</t>
        </is>
      </c>
      <c r="E59" s="32" t="inlineStr"/>
      <c r="F59" s="32" t="inlineStr"/>
      <c r="G59" s="42" t="inlineStr">
        <is>
          <t>TT, JL, JV, OE, DB</t>
        </is>
      </c>
    </row>
    <row r="60">
      <c r="A60" s="37" t="inlineStr">
        <is>
          <t>Executive Dashboard</t>
        </is>
      </c>
      <c r="B60" s="37" t="inlineStr">
        <is>
          <t>Division</t>
        </is>
      </c>
      <c r="C60" s="39" t="n">
        <v>2</v>
      </c>
      <c r="D60" s="37" t="inlineStr">
        <is>
          <t>CustomerMaster</t>
        </is>
      </c>
      <c r="E60" s="37" t="inlineStr"/>
      <c r="F60" s="37" t="inlineStr"/>
      <c r="G60" s="43" t="inlineStr">
        <is>
          <t>2, 1</t>
        </is>
      </c>
    </row>
    <row r="61">
      <c r="A61" s="32" t="inlineStr">
        <is>
          <t>Executive Dashboard</t>
        </is>
      </c>
      <c r="B61" s="32" t="inlineStr">
        <is>
          <t>Phone</t>
        </is>
      </c>
      <c r="C61" s="34" t="n">
        <v>1</v>
      </c>
      <c r="D61" s="32" t="inlineStr">
        <is>
          <t>CustomerMaster</t>
        </is>
      </c>
      <c r="E61" s="32" t="inlineStr"/>
      <c r="F61" s="32" t="inlineStr"/>
      <c r="G61" s="42" t="inlineStr">
        <is>
          <t>816-455-8733</t>
        </is>
      </c>
    </row>
    <row r="62">
      <c r="A62" s="37" t="inlineStr">
        <is>
          <t>Executive Dashboard</t>
        </is>
      </c>
      <c r="B62" s="37" t="inlineStr">
        <is>
          <t>Region Code</t>
        </is>
      </c>
      <c r="C62" s="39" t="n">
        <v>4</v>
      </c>
      <c r="D62" s="37" t="inlineStr">
        <is>
          <t>CustomerMaster</t>
        </is>
      </c>
      <c r="E62" s="37" t="inlineStr"/>
      <c r="F62" s="37" t="inlineStr"/>
      <c r="G62" s="43" t="inlineStr">
        <is>
          <t>1, 4, 2, 0</t>
        </is>
      </c>
    </row>
    <row r="63">
      <c r="A63" s="32" t="inlineStr">
        <is>
          <t>Executive Dashboard</t>
        </is>
      </c>
      <c r="B63" s="32" t="inlineStr">
        <is>
          <t>Regional Sales Mgr</t>
        </is>
      </c>
      <c r="C63" s="34" t="n">
        <v>15</v>
      </c>
      <c r="D63" s="32" t="inlineStr">
        <is>
          <t>CustomerMaster</t>
        </is>
      </c>
      <c r="E63" s="32" t="inlineStr"/>
      <c r="F63" s="32" t="inlineStr"/>
      <c r="G63" s="42" t="inlineStr">
        <is>
          <t>S3, S16, S13, S4, S14, S20, S5, S22</t>
        </is>
      </c>
    </row>
    <row r="64">
      <c r="A64" s="37" t="inlineStr">
        <is>
          <t>Executive Dashboard</t>
        </is>
      </c>
      <c r="B64" s="37" t="inlineStr">
        <is>
          <t>Zone Mgr</t>
        </is>
      </c>
      <c r="C64" s="39" t="n">
        <v>6</v>
      </c>
      <c r="D64" s="37" t="inlineStr">
        <is>
          <t>CustomerMaster</t>
        </is>
      </c>
      <c r="E64" s="37" t="inlineStr"/>
      <c r="F64" s="37" t="inlineStr"/>
      <c r="G64" s="43" t="inlineStr">
        <is>
          <t>ZM8, ZM5, ZM6, ZM1, ZM7, ZM9</t>
        </is>
      </c>
    </row>
    <row r="65">
      <c r="A65" s="32" t="inlineStr">
        <is>
          <t>Executive Dashboard</t>
        </is>
      </c>
      <c r="B65" s="32" t="inlineStr">
        <is>
          <t>SegmentDesc</t>
        </is>
      </c>
      <c r="C65" s="34" t="n">
        <v>6</v>
      </c>
      <c r="D65" s="32" t="inlineStr">
        <is>
          <t>ChannelMaster</t>
        </is>
      </c>
      <c r="E65" s="32" t="inlineStr"/>
      <c r="F65" s="32" t="inlineStr"/>
      <c r="G65" s="42" t="inlineStr">
        <is>
          <t>Supermarkets, Convenience Stores, Hotels &amp; Clubs, Bottle Shops, Restaurant &amp; Cafes, Alternative</t>
        </is>
      </c>
    </row>
    <row r="66">
      <c r="A66" s="37" t="inlineStr">
        <is>
          <t>Executive Dashboard</t>
        </is>
      </c>
      <c r="B66" s="37" t="inlineStr">
        <is>
          <t>SegmentGroup</t>
        </is>
      </c>
      <c r="C66" s="39" t="n">
        <v>2</v>
      </c>
      <c r="D66" s="37" t="inlineStr">
        <is>
          <t>ChannelMaster</t>
        </is>
      </c>
      <c r="E66" s="37" t="inlineStr"/>
      <c r="F66" s="37" t="inlineStr"/>
      <c r="G66" s="43" t="inlineStr">
        <is>
          <t>Wholesale Grocery, Wholesale Liquor &amp; Beverage</t>
        </is>
      </c>
    </row>
    <row r="67">
      <c r="A67" s="32" t="inlineStr">
        <is>
          <t>Executive Dashboard</t>
        </is>
      </c>
      <c r="B67" s="32" t="inlineStr">
        <is>
          <t>Fiscal Quarter</t>
        </is>
      </c>
      <c r="C67" s="34" t="n">
        <v>4</v>
      </c>
      <c r="D67" s="32" t="inlineStr">
        <is>
          <t>Calendar</t>
        </is>
      </c>
      <c r="E67" s="32" t="inlineStr"/>
      <c r="F67" s="32" t="inlineStr"/>
      <c r="G67" s="42" t="inlineStr">
        <is>
          <t>1, 2, 3, 4</t>
        </is>
      </c>
    </row>
    <row r="68">
      <c r="A68" s="37" t="inlineStr">
        <is>
          <t>Executive Dashboard</t>
        </is>
      </c>
      <c r="B68" s="37" t="inlineStr">
        <is>
          <t>Fiscal Year</t>
        </is>
      </c>
      <c r="C68" s="39" t="n">
        <v>3</v>
      </c>
      <c r="D68" s="37" t="inlineStr">
        <is>
          <t>Calendar</t>
        </is>
      </c>
      <c r="E68" s="37" t="inlineStr"/>
      <c r="F68" s="37" t="inlineStr">
        <is>
          <t>###0</t>
        </is>
      </c>
      <c r="G68" s="43" t="inlineStr">
        <is>
          <t>2011, 2012, 2013</t>
        </is>
      </c>
    </row>
    <row r="69">
      <c r="A69" s="32" t="inlineStr">
        <is>
          <t>Executive Dashboard</t>
        </is>
      </c>
      <c r="B69" s="32" t="inlineStr">
        <is>
          <t>FiscalMonth</t>
        </is>
      </c>
      <c r="C69" s="34" t="n">
        <v>12</v>
      </c>
      <c r="D69" s="32" t="inlineStr">
        <is>
          <t>Calendar</t>
        </is>
      </c>
      <c r="E69" s="32" t="inlineStr"/>
      <c r="F69" s="32" t="inlineStr"/>
      <c r="G69" s="42" t="inlineStr">
        <is>
          <t>Jan, Feb, Mar, Apr, May, Jun, Jul, Aug</t>
        </is>
      </c>
    </row>
    <row r="70">
      <c r="A70" s="37" t="inlineStr">
        <is>
          <t>Executive Dashboard</t>
        </is>
      </c>
      <c r="B70" s="37" t="inlineStr">
        <is>
          <t>FiscalMonthNum</t>
        </is>
      </c>
      <c r="C70" s="39" t="n">
        <v>12</v>
      </c>
      <c r="D70" s="37" t="inlineStr">
        <is>
          <t>Calendar</t>
        </is>
      </c>
      <c r="E70" s="37" t="inlineStr"/>
      <c r="F70" s="37" t="inlineStr"/>
      <c r="G70" s="43" t="inlineStr">
        <is>
          <t>1, 2, 3, 4, 5, 6, 7, 8</t>
        </is>
      </c>
    </row>
    <row r="71">
      <c r="A71" s="32" t="inlineStr">
        <is>
          <t>Executive Dashboard</t>
        </is>
      </c>
      <c r="B71" s="32" t="inlineStr">
        <is>
          <t>FiscalRollQt</t>
        </is>
      </c>
      <c r="C71" s="34" t="n">
        <v>12</v>
      </c>
      <c r="D71" s="32" t="inlineStr">
        <is>
          <t>Calendar</t>
        </is>
      </c>
      <c r="E71" s="32" t="inlineStr"/>
      <c r="F71" s="32" t="inlineStr"/>
      <c r="G71" s="42" t="inlineStr">
        <is>
          <t>2010-1, 2011-1, 2012-1, 2010-2, 2011-2, 2012-2, 2010-3, 2011-3</t>
        </is>
      </c>
    </row>
    <row r="72">
      <c r="A72" s="37" t="inlineStr">
        <is>
          <t>Executive Dashboard</t>
        </is>
      </c>
      <c r="B72" s="37" t="inlineStr">
        <is>
          <t>ARGross</t>
        </is>
      </c>
      <c r="C72" s="39" t="n">
        <v>73</v>
      </c>
      <c r="D72" s="37" t="inlineStr">
        <is>
          <t>ARSummary</t>
        </is>
      </c>
      <c r="E72" s="37" t="inlineStr"/>
      <c r="F72" s="37" t="inlineStr"/>
      <c r="G72" s="43" t="inlineStr">
        <is>
          <t>5270.1359999999995, 3076.7416, 0, 7646.4436000000005, 264.14259999999996, 276798.64440000005, 675984.0798000001, 3732.775</t>
        </is>
      </c>
    </row>
    <row r="73">
      <c r="A73" s="32" t="inlineStr">
        <is>
          <t>Executive Dashboard</t>
        </is>
      </c>
      <c r="B73" s="32" t="inlineStr">
        <is>
          <t>AROpen</t>
        </is>
      </c>
      <c r="C73" s="34" t="n">
        <v>60</v>
      </c>
      <c r="D73" s="32" t="inlineStr">
        <is>
          <t>ARSummary</t>
        </is>
      </c>
      <c r="E73" s="32" t="inlineStr"/>
      <c r="F73" s="32" t="inlineStr"/>
      <c r="G73" s="42" t="inlineStr">
        <is>
          <t>-30.872, 0, -113.9204, 24421.254800000002, 16622.5456, 1415.3418000000001, 1490.2098, 10766.1646</t>
        </is>
      </c>
    </row>
    <row r="74">
      <c r="A74" s="37" t="inlineStr">
        <is>
          <t>Executive Dashboard</t>
        </is>
      </c>
      <c r="B74" s="37" t="inlineStr">
        <is>
          <t>ARCurrent</t>
        </is>
      </c>
      <c r="C74" s="39" t="n">
        <v>45</v>
      </c>
      <c r="D74" s="37" t="inlineStr">
        <is>
          <t>ARSummary</t>
        </is>
      </c>
      <c r="E74" s="37" t="inlineStr"/>
      <c r="F74" s="37" t="inlineStr"/>
      <c r="G74" s="43" t="inlineStr">
        <is>
          <t>0, 26927.588600000003, 1242.02, 1152.3824, 3511.9586000000004, 8367.553, 18041.3758, 5557.0144</t>
        </is>
      </c>
    </row>
    <row r="75">
      <c r="A75" s="32" t="inlineStr">
        <is>
          <t>Executive Dashboard</t>
        </is>
      </c>
      <c r="B75" s="32" t="inlineStr">
        <is>
          <t>AR1-30</t>
        </is>
      </c>
      <c r="C75" s="34" t="n">
        <v>40</v>
      </c>
      <c r="D75" s="32" t="inlineStr">
        <is>
          <t>ARSummary</t>
        </is>
      </c>
      <c r="E75" s="32" t="inlineStr"/>
      <c r="F75" s="32" t="inlineStr"/>
      <c r="G75" s="42" t="inlineStr">
        <is>
          <t>0, -2506.3338000000003, 188.3056, 262.9594, 521.0432000000001, 1240.7348, -2996.1616000000004, -251.2974</t>
        </is>
      </c>
    </row>
    <row r="76">
      <c r="A76" s="37" t="inlineStr">
        <is>
          <t>Executive Dashboard</t>
        </is>
      </c>
      <c r="B76" s="37" t="inlineStr">
        <is>
          <t>AR31-60</t>
        </is>
      </c>
      <c r="C76" s="39" t="n">
        <v>21</v>
      </c>
      <c r="D76" s="37" t="inlineStr">
        <is>
          <t>ARSummary</t>
        </is>
      </c>
      <c r="E76" s="37" t="inlineStr"/>
      <c r="F76" s="37" t="inlineStr"/>
      <c r="G76" s="43" t="inlineStr">
        <is>
          <t>-30.872, 0, 15192.220000000001, -2325.7734, 4253.298, 283.4988, 4017.1034000000004, -102.25840000000001</t>
        </is>
      </c>
    </row>
    <row r="77">
      <c r="A77" s="32" t="inlineStr">
        <is>
          <t>Executive Dashboard</t>
        </is>
      </c>
      <c r="B77" s="32" t="inlineStr">
        <is>
          <t>AR60+</t>
        </is>
      </c>
      <c r="C77" s="34" t="n">
        <v>29</v>
      </c>
      <c r="D77" s="32" t="inlineStr">
        <is>
          <t>ARSummary</t>
        </is>
      </c>
      <c r="E77" s="32" t="inlineStr"/>
      <c r="F77" s="32" t="inlineStr"/>
      <c r="G77" s="42" t="inlineStr">
        <is>
          <t>0, -113.9204, -217.01860000000002, 1157.8768, 627.5006000000001, -13.0866, 4706.2664, -136</t>
        </is>
      </c>
    </row>
    <row r="78">
      <c r="A78" s="37" t="inlineStr">
        <is>
          <t>Executive Dashboard</t>
        </is>
      </c>
      <c r="B78" s="37" t="inlineStr">
        <is>
          <t>ARCredit</t>
        </is>
      </c>
      <c r="C78" s="39" t="n">
        <v>29</v>
      </c>
      <c r="D78" s="37" t="inlineStr">
        <is>
          <t>ARSummary</t>
        </is>
      </c>
      <c r="E78" s="37" t="inlineStr"/>
      <c r="F78" s="37" t="inlineStr"/>
      <c r="G78" s="43" t="inlineStr">
        <is>
          <t>2550, 16999.66, 5439.66, 17000, 51000, 680, 8500, 3059.66</t>
        </is>
      </c>
    </row>
    <row r="79">
      <c r="A79" s="32" t="inlineStr">
        <is>
          <t>Executive Dashboard</t>
        </is>
      </c>
      <c r="B79" s="32" t="inlineStr">
        <is>
          <t>ARSalesPerDay</t>
        </is>
      </c>
      <c r="C79" s="34" t="n">
        <v>69</v>
      </c>
      <c r="D79" s="32" t="inlineStr">
        <is>
          <t>ARSummary</t>
        </is>
      </c>
      <c r="E79" s="32" t="inlineStr"/>
      <c r="F79" s="32" t="inlineStr"/>
      <c r="G79" s="42" t="inlineStr">
        <is>
          <t>-23.3546, 15.7386, 0.41140000000000004, 46.814600000000006, 1.3872, 1057.8284, 1335.6016, 12.512</t>
        </is>
      </c>
    </row>
    <row r="80">
      <c r="A80" s="37" t="inlineStr">
        <is>
          <t>Executive Dashboard</t>
        </is>
      </c>
      <c r="B80" s="37" t="inlineStr">
        <is>
          <t>ARAvgBal</t>
        </is>
      </c>
      <c r="C80" s="39" t="n">
        <v>70</v>
      </c>
      <c r="D80" s="37" t="inlineStr">
        <is>
          <t>ARSummary</t>
        </is>
      </c>
      <c r="E80" s="37" t="inlineStr"/>
      <c r="F80" s="37" t="inlineStr"/>
      <c r="G80" s="43" t="inlineStr">
        <is>
          <t>5064.1946, 943.755, 0, 1292.9384, 132.0696, 27149.7582, 32213.436, 545.751</t>
        </is>
      </c>
    </row>
    <row r="81">
      <c r="A81" s="32" t="inlineStr">
        <is>
          <t>Executive Dashboard</t>
        </is>
      </c>
      <c r="B81" s="32" t="inlineStr">
        <is>
          <t>ARAge</t>
        </is>
      </c>
      <c r="C81" s="34" t="n">
        <v>4</v>
      </c>
      <c r="D81" s="32" t="inlineStr">
        <is>
          <t>ARSummary-1</t>
        </is>
      </c>
      <c r="E81" s="32" t="inlineStr"/>
      <c r="F81" s="32" t="inlineStr"/>
      <c r="G81" s="42" t="inlineStr">
        <is>
          <t>Current, 1-30 Days, 31-60 Days, 60+ Days</t>
        </is>
      </c>
    </row>
    <row r="82">
      <c r="A82" s="37" t="inlineStr">
        <is>
          <t>Executive Dashboard</t>
        </is>
      </c>
      <c r="B82" s="37" t="inlineStr">
        <is>
          <t>ARAgeBal</t>
        </is>
      </c>
      <c r="C82" s="39" t="n">
        <v>132</v>
      </c>
      <c r="D82" s="37" t="inlineStr">
        <is>
          <t>ARSummary-1</t>
        </is>
      </c>
      <c r="E82" s="37" t="inlineStr"/>
      <c r="F82" s="37" t="inlineStr"/>
      <c r="G82" s="43" t="inlineStr">
        <is>
          <t>0, 26927.588600000003, 1242.02, 1152.3824, 3511.9586000000004, 8367.553, 18041.3758, 5557.0144</t>
        </is>
      </c>
    </row>
    <row r="83">
      <c r="A83" s="32" t="inlineStr">
        <is>
          <t>First Qlikview Report</t>
        </is>
      </c>
      <c r="B83" s="32" t="inlineStr">
        <is>
          <t>Order_ID</t>
        </is>
      </c>
      <c r="C83" s="34" t="n">
        <v>100</v>
      </c>
      <c r="D83" s="32" t="inlineStr">
        <is>
          <t>Fact_Sales</t>
        </is>
      </c>
      <c r="E83" s="32" t="inlineStr">
        <is>
          <t>$numeric, $integer</t>
        </is>
      </c>
      <c r="F83" s="32" t="inlineStr"/>
      <c r="G83" s="42" t="inlineStr">
        <is>
          <t>1001, 1002, 1003, 1004, 1005, 1006, 1007, 1008</t>
        </is>
      </c>
    </row>
    <row r="84">
      <c r="A84" s="37" t="inlineStr">
        <is>
          <t>First Qlikview Report</t>
        </is>
      </c>
      <c r="B84" s="37" t="inlineStr">
        <is>
          <t>Date_Key</t>
        </is>
      </c>
      <c r="C84" s="39" t="n">
        <v>12</v>
      </c>
      <c r="D84" s="37" t="inlineStr">
        <is>
          <t>Fact_Sales</t>
        </is>
      </c>
      <c r="E84" s="37" t="inlineStr">
        <is>
          <t>$numeric, $integer</t>
        </is>
      </c>
      <c r="F84" s="37" t="inlineStr"/>
      <c r="G84" s="43" t="inlineStr">
        <is>
          <t>20260201, 20260301, 20260401, 20260501, 20260601, 20260701, 20260801, 20260901</t>
        </is>
      </c>
    </row>
    <row r="85">
      <c r="A85" s="32" t="inlineStr">
        <is>
          <t>First Qlikview Report</t>
        </is>
      </c>
      <c r="B85" s="32" t="inlineStr">
        <is>
          <t>Product_Key</t>
        </is>
      </c>
      <c r="C85" s="34" t="n">
        <v>5</v>
      </c>
      <c r="D85" s="32" t="inlineStr">
        <is>
          <t>Fact_Sales</t>
        </is>
      </c>
      <c r="E85" s="32" t="inlineStr">
        <is>
          <t>$ascii, $text</t>
        </is>
      </c>
      <c r="F85" s="32" t="inlineStr"/>
      <c r="G85" s="42" t="inlineStr">
        <is>
          <t>P002, P003, P004, P005, P001</t>
        </is>
      </c>
    </row>
    <row r="86">
      <c r="A86" s="37" t="inlineStr">
        <is>
          <t>First Qlikview Report</t>
        </is>
      </c>
      <c r="B86" s="37" t="inlineStr">
        <is>
          <t>Region_Key</t>
        </is>
      </c>
      <c r="C86" s="39" t="n">
        <v>4</v>
      </c>
      <c r="D86" s="37" t="inlineStr">
        <is>
          <t>Fact_Sales</t>
        </is>
      </c>
      <c r="E86" s="37" t="inlineStr">
        <is>
          <t>$ascii, $text</t>
        </is>
      </c>
      <c r="F86" s="37" t="inlineStr"/>
      <c r="G86" s="43" t="inlineStr">
        <is>
          <t>R02, R03, R04, R01</t>
        </is>
      </c>
    </row>
    <row r="87">
      <c r="A87" s="32" t="inlineStr">
        <is>
          <t>First Qlikview Report</t>
        </is>
      </c>
      <c r="B87" s="32" t="inlineStr">
        <is>
          <t>SalesRep_Key</t>
        </is>
      </c>
      <c r="C87" s="34" t="n">
        <v>5</v>
      </c>
      <c r="D87" s="32" t="inlineStr">
        <is>
          <t>Fact_Sales</t>
        </is>
      </c>
      <c r="E87" s="32" t="inlineStr">
        <is>
          <t>$ascii, $text</t>
        </is>
      </c>
      <c r="F87" s="32" t="inlineStr"/>
      <c r="G87" s="42" t="inlineStr">
        <is>
          <t>S02, S03, S04, S05, S01</t>
        </is>
      </c>
    </row>
    <row r="88">
      <c r="A88" s="37" t="inlineStr">
        <is>
          <t>First Qlikview Report</t>
        </is>
      </c>
      <c r="B88" s="37" t="inlineStr">
        <is>
          <t>Quantity</t>
        </is>
      </c>
      <c r="C88" s="39" t="n">
        <v>10</v>
      </c>
      <c r="D88" s="37" t="inlineStr">
        <is>
          <t>Fact_Sales</t>
        </is>
      </c>
      <c r="E88" s="37" t="inlineStr">
        <is>
          <t>$numeric, $integer</t>
        </is>
      </c>
      <c r="F88" s="37" t="inlineStr"/>
      <c r="G88" s="43" t="inlineStr">
        <is>
          <t>2, 3, 4, 5, 6, 7, 8, 9</t>
        </is>
      </c>
    </row>
    <row r="89">
      <c r="A89" s="32" t="inlineStr">
        <is>
          <t>First Qlikview Report</t>
        </is>
      </c>
      <c r="B89" s="32" t="inlineStr">
        <is>
          <t>Unit_Cost</t>
        </is>
      </c>
      <c r="C89" s="34" t="n">
        <v>5</v>
      </c>
      <c r="D89" s="32" t="inlineStr">
        <is>
          <t>Fact_Sales</t>
        </is>
      </c>
      <c r="E89" s="32" t="inlineStr">
        <is>
          <t>$numeric, $integer</t>
        </is>
      </c>
      <c r="F89" s="32" t="inlineStr"/>
      <c r="G89" s="42" t="inlineStr">
        <is>
          <t>125, 150, 175, 200, 100</t>
        </is>
      </c>
    </row>
    <row r="90">
      <c r="A90" s="37" t="inlineStr">
        <is>
          <t>First Qlikview Report</t>
        </is>
      </c>
      <c r="B90" s="37" t="inlineStr">
        <is>
          <t>Unit_Price</t>
        </is>
      </c>
      <c r="C90" s="39" t="n">
        <v>5</v>
      </c>
      <c r="D90" s="37" t="inlineStr">
        <is>
          <t>Fact_Sales</t>
        </is>
      </c>
      <c r="E90" s="37" t="inlineStr">
        <is>
          <t>$numeric</t>
        </is>
      </c>
      <c r="F90" s="37" t="inlineStr"/>
      <c r="G90" s="43" t="inlineStr">
        <is>
          <t>168.75, 202.5, 236.25, 270, 135</t>
        </is>
      </c>
    </row>
    <row r="91">
      <c r="A91" s="32" t="inlineStr">
        <is>
          <t>First Qlikview Report</t>
        </is>
      </c>
      <c r="B91" s="32" t="inlineStr">
        <is>
          <t>Revenue</t>
        </is>
      </c>
      <c r="C91" s="34" t="n">
        <v>10</v>
      </c>
      <c r="D91" s="32" t="inlineStr">
        <is>
          <t>Fact_Sales</t>
        </is>
      </c>
      <c r="E91" s="32" t="inlineStr">
        <is>
          <t>$numeric</t>
        </is>
      </c>
      <c r="F91" s="32" t="inlineStr"/>
      <c r="G91" s="42" t="inlineStr">
        <is>
          <t>337.5, 607.5, 945, 1350, 810, 1181.25, 1620, 2126.25</t>
        </is>
      </c>
    </row>
    <row r="92">
      <c r="A92" s="37" t="inlineStr">
        <is>
          <t>First Qlikview Report</t>
        </is>
      </c>
      <c r="B92" s="37" t="inlineStr">
        <is>
          <t>Profit</t>
        </is>
      </c>
      <c r="C92" s="39" t="n">
        <v>10</v>
      </c>
      <c r="D92" s="37" t="inlineStr">
        <is>
          <t>Fact_Sales</t>
        </is>
      </c>
      <c r="E92" s="37" t="inlineStr">
        <is>
          <t>$numeric</t>
        </is>
      </c>
      <c r="F92" s="37" t="inlineStr"/>
      <c r="G92" s="43" t="inlineStr">
        <is>
          <t>87.5, 157.5, 245, 350, 210, 306.25, 420, 551.25</t>
        </is>
      </c>
    </row>
    <row r="93">
      <c r="A93" s="32" t="inlineStr">
        <is>
          <t>Helpdesk Management</t>
        </is>
      </c>
      <c r="B93" s="32" t="inlineStr">
        <is>
          <t>%CaseId</t>
        </is>
      </c>
      <c r="C93" s="34" t="n">
        <v>9031</v>
      </c>
      <c r="D93" s="32" t="inlineStr">
        <is>
          <t>Helpdesk Cases</t>
        </is>
      </c>
      <c r="E93" s="32" t="inlineStr"/>
      <c r="F93" s="32" t="inlineStr"/>
      <c r="G93" s="42" t="inlineStr">
        <is>
          <t>ABC112233445567050, ABC112233445567059, ABC112233445567068, ABC112233445567077, ABC112233445567086, ABC112233445567095, ABC112233445567104, ABC112233445567113</t>
        </is>
      </c>
    </row>
    <row r="94">
      <c r="A94" s="37" t="inlineStr">
        <is>
          <t>Helpdesk Management</t>
        </is>
      </c>
      <c r="B94" s="37" t="inlineStr">
        <is>
          <t>Case_Date_Key</t>
        </is>
      </c>
      <c r="C94" s="39" t="n">
        <v>9031</v>
      </c>
      <c r="D94" s="37" t="inlineStr">
        <is>
          <t>Helpdesk Cases, Requests</t>
        </is>
      </c>
      <c r="E94" s="37" t="inlineStr"/>
      <c r="F94" s="37" t="inlineStr"/>
      <c r="G94" s="43" t="inlineStr">
        <is>
          <t>ABC112233445567050_12/9/2011, ABC112233445567059_12/9/2011, ABC112233445567068_12/6/2011, ABC112233445567077_12/6/2011, ABC112233445567086_12/9/2011, ABC112233445567095_12/6/2011, ABC112233445567104_12/10/2011, ABC112233445567113_12/10/2011</t>
        </is>
      </c>
    </row>
    <row r="95">
      <c r="A95" s="32" t="inlineStr">
        <is>
          <t>Helpdesk Management</t>
        </is>
      </c>
      <c r="B95" s="32" t="inlineStr">
        <is>
          <t>Case Count</t>
        </is>
      </c>
      <c r="C95" s="34" t="n">
        <v>1</v>
      </c>
      <c r="D95" s="32" t="inlineStr">
        <is>
          <t>Helpdesk Cases</t>
        </is>
      </c>
      <c r="E95" s="32" t="inlineStr"/>
      <c r="F95" s="32" t="inlineStr"/>
      <c r="G95" s="42" t="inlineStr">
        <is>
          <t>1</t>
        </is>
      </c>
    </row>
    <row r="96">
      <c r="A96" s="37" t="inlineStr">
        <is>
          <t>Helpdesk Management</t>
        </is>
      </c>
      <c r="B96" s="37" t="inlineStr">
        <is>
          <t>CaseNumber</t>
        </is>
      </c>
      <c r="C96" s="39" t="n">
        <v>9031</v>
      </c>
      <c r="D96" s="37" t="inlineStr">
        <is>
          <t>Helpdesk Cases</t>
        </is>
      </c>
      <c r="E96" s="37" t="inlineStr"/>
      <c r="F96" s="37" t="inlineStr"/>
      <c r="G96" s="43" t="inlineStr">
        <is>
          <t>00042775, 00042806, 00042400, 00042412, 00042843, 00042450, 00042920, 00042938</t>
        </is>
      </c>
    </row>
    <row r="97">
      <c r="A97" s="32" t="inlineStr">
        <is>
          <t>Helpdesk Management</t>
        </is>
      </c>
      <c r="B97" s="32" t="inlineStr">
        <is>
          <t>Status</t>
        </is>
      </c>
      <c r="C97" s="34" t="n">
        <v>11</v>
      </c>
      <c r="D97" s="32" t="inlineStr">
        <is>
          <t>Helpdesk Cases</t>
        </is>
      </c>
      <c r="E97" s="32" t="inlineStr"/>
      <c r="F97" s="32" t="inlineStr"/>
      <c r="G97" s="42" t="inlineStr">
        <is>
          <t>Closed, On Hold, New, Pending Approval, Pending Customer Reply, In Process, Duplicate Case, Escalated</t>
        </is>
      </c>
    </row>
    <row r="98">
      <c r="A98" s="37" t="inlineStr">
        <is>
          <t>Helpdesk Management</t>
        </is>
      </c>
      <c r="B98" s="37" t="inlineStr">
        <is>
          <t>Priority</t>
        </is>
      </c>
      <c r="C98" s="39" t="n">
        <v>3</v>
      </c>
      <c r="D98" s="37" t="inlineStr">
        <is>
          <t>Helpdesk Cases</t>
        </is>
      </c>
      <c r="E98" s="37" t="inlineStr"/>
      <c r="F98" s="37" t="inlineStr"/>
      <c r="G98" s="43" t="inlineStr">
        <is>
          <t>Low, High, Medium</t>
        </is>
      </c>
    </row>
    <row r="99">
      <c r="A99" s="32" t="inlineStr">
        <is>
          <t>Helpdesk Management</t>
        </is>
      </c>
      <c r="B99" s="32" t="inlineStr">
        <is>
          <t>Priority Rank</t>
        </is>
      </c>
      <c r="C99" s="34" t="n">
        <v>6</v>
      </c>
      <c r="D99" s="32" t="inlineStr">
        <is>
          <t>Helpdesk Cases</t>
        </is>
      </c>
      <c r="E99" s="32" t="inlineStr"/>
      <c r="F99" s="32" t="inlineStr"/>
      <c r="G99" s="42" t="inlineStr">
        <is>
          <t>5, 2, 3, 4, 1, 6</t>
        </is>
      </c>
    </row>
    <row r="100">
      <c r="A100" s="37" t="inlineStr">
        <is>
          <t>Helpdesk Management</t>
        </is>
      </c>
      <c r="B100" s="37" t="inlineStr">
        <is>
          <t>Priority Sort</t>
        </is>
      </c>
      <c r="C100" s="39" t="n">
        <v>3</v>
      </c>
      <c r="D100" s="37" t="inlineStr">
        <is>
          <t>Helpdesk Cases</t>
        </is>
      </c>
      <c r="E100" s="37" t="inlineStr"/>
      <c r="F100" s="37" t="inlineStr"/>
      <c r="G100" s="43" t="inlineStr">
        <is>
          <t>3, 1, 2</t>
        </is>
      </c>
    </row>
    <row r="101">
      <c r="A101" s="32" t="inlineStr">
        <is>
          <t>Helpdesk Management</t>
        </is>
      </c>
      <c r="B101" s="32" t="inlineStr">
        <is>
          <t>Case Is Closed</t>
        </is>
      </c>
      <c r="C101" s="34" t="n">
        <v>2</v>
      </c>
      <c r="D101" s="32" t="inlineStr">
        <is>
          <t>Helpdesk Cases</t>
        </is>
      </c>
      <c r="E101" s="32" t="inlineStr"/>
      <c r="F101" s="32" t="inlineStr"/>
      <c r="G101" s="42" t="inlineStr">
        <is>
          <t>True, False</t>
        </is>
      </c>
    </row>
    <row r="102">
      <c r="A102" s="37" t="inlineStr">
        <is>
          <t>Helpdesk Management</t>
        </is>
      </c>
      <c r="B102" s="37" t="inlineStr">
        <is>
          <t>Case Aging</t>
        </is>
      </c>
      <c r="C102" s="39" t="n">
        <v>396</v>
      </c>
      <c r="D102" s="37" t="inlineStr">
        <is>
          <t>Helpdesk Cases</t>
        </is>
      </c>
      <c r="E102" s="37" t="inlineStr"/>
      <c r="F102" s="37" t="inlineStr"/>
      <c r="G102" s="43" t="inlineStr">
        <is>
          <t>101 07:09, 98 10:41, 93 09:21, 65 11:03, 65 04:25, 29 03:35, 36 02:41, 34 09:49</t>
        </is>
      </c>
    </row>
    <row r="103">
      <c r="A103" s="32" t="inlineStr">
        <is>
          <t>Helpdesk Management</t>
        </is>
      </c>
      <c r="B103" s="32" t="inlineStr">
        <is>
          <t>Cases Open/Closed</t>
        </is>
      </c>
      <c r="C103" s="34" t="n">
        <v>2</v>
      </c>
      <c r="D103" s="32" t="inlineStr">
        <is>
          <t>Helpdesk Cases</t>
        </is>
      </c>
      <c r="E103" s="32" t="inlineStr"/>
      <c r="F103" s="32" t="inlineStr"/>
      <c r="G103" s="42" t="inlineStr">
        <is>
          <t>Closed Cases, Open Cases</t>
        </is>
      </c>
    </row>
    <row r="104">
      <c r="A104" s="37" t="inlineStr">
        <is>
          <t>Helpdesk Management</t>
        </is>
      </c>
      <c r="B104" s="37" t="inlineStr">
        <is>
          <t>Case Closed Date</t>
        </is>
      </c>
      <c r="C104" s="39" t="n">
        <v>7979</v>
      </c>
      <c r="D104" s="37" t="inlineStr">
        <is>
          <t>Helpdesk Cases</t>
        </is>
      </c>
      <c r="E104" s="37" t="inlineStr"/>
      <c r="F104" s="37" t="inlineStr"/>
      <c r="G104" s="43" t="inlineStr">
        <is>
          <t>12/21/2011, 12/21/2011, 12/7/2011, 12/21/2011, 12/15/2011, 12/23/2011, 12/24/2011, 12/10/2011</t>
        </is>
      </c>
    </row>
    <row r="105">
      <c r="A105" s="32" t="inlineStr">
        <is>
          <t>Helpdesk Management</t>
        </is>
      </c>
      <c r="B105" s="32" t="inlineStr">
        <is>
          <t>Case Created Date</t>
        </is>
      </c>
      <c r="C105" s="34" t="n">
        <v>8925</v>
      </c>
      <c r="D105" s="32" t="inlineStr">
        <is>
          <t>Helpdesk Cases</t>
        </is>
      </c>
      <c r="E105" s="32" t="inlineStr"/>
      <c r="F105" s="32" t="inlineStr"/>
      <c r="G105" s="42" t="inlineStr">
        <is>
          <t>12/9/2011, 12/9/2011, 12/6/2011, 12/6/2011, 12/9/2011, 12/6/2011, 12/10/2011, 12/10/2011</t>
        </is>
      </c>
    </row>
    <row r="106">
      <c r="A106" s="37" t="inlineStr">
        <is>
          <t>Helpdesk Management</t>
        </is>
      </c>
      <c r="B106" s="37" t="inlineStr">
        <is>
          <t>Case Timetable</t>
        </is>
      </c>
      <c r="C106" s="39" t="n">
        <v>6</v>
      </c>
      <c r="D106" s="37" t="inlineStr">
        <is>
          <t>Helpdesk Cases</t>
        </is>
      </c>
      <c r="E106" s="37" t="inlineStr"/>
      <c r="F106" s="37" t="inlineStr"/>
      <c r="G106" s="43" t="inlineStr">
        <is>
          <t>Over a month old, 22-31 days, 8-14 days, 15-21 days, 2-7 days, Yesterday</t>
        </is>
      </c>
    </row>
    <row r="107">
      <c r="A107" s="32" t="inlineStr">
        <is>
          <t>Helpdesk Management</t>
        </is>
      </c>
      <c r="B107" s="32" t="inlineStr">
        <is>
          <t>Case Timetable Rank</t>
        </is>
      </c>
      <c r="C107" s="34" t="n">
        <v>6</v>
      </c>
      <c r="D107" s="32" t="inlineStr">
        <is>
          <t>Helpdesk Cases</t>
        </is>
      </c>
      <c r="E107" s="32" t="inlineStr"/>
      <c r="F107" s="32" t="inlineStr"/>
      <c r="G107" s="42" t="inlineStr">
        <is>
          <t>7, 6, 4, 5, 3, 2</t>
        </is>
      </c>
    </row>
    <row r="108">
      <c r="A108" s="37" t="inlineStr">
        <is>
          <t>Helpdesk Management</t>
        </is>
      </c>
      <c r="B108" s="37" t="inlineStr">
        <is>
          <t>Case Record Type</t>
        </is>
      </c>
      <c r="C108" s="39" t="n">
        <v>4</v>
      </c>
      <c r="D108" s="37" t="inlineStr">
        <is>
          <t>Helpdesk Cases</t>
        </is>
      </c>
      <c r="E108" s="37" t="inlineStr"/>
      <c r="F108" s="37" t="inlineStr"/>
      <c r="G108" s="43" t="inlineStr">
        <is>
          <t>General IT Support, Software Request, New User Request, Hardware Request</t>
        </is>
      </c>
    </row>
    <row r="109">
      <c r="A109" s="32" t="inlineStr">
        <is>
          <t>Helpdesk Management</t>
        </is>
      </c>
      <c r="B109" s="32" t="inlineStr">
        <is>
          <t>Case Duration Time</t>
        </is>
      </c>
      <c r="C109" s="34" t="n">
        <v>8500</v>
      </c>
      <c r="D109" s="32" t="inlineStr">
        <is>
          <t>Helpdesk Cases</t>
        </is>
      </c>
      <c r="E109" s="32" t="inlineStr"/>
      <c r="F109" s="32" t="inlineStr"/>
      <c r="G109" s="42" t="inlineStr">
        <is>
          <t>12 00:52, 11 23:27, 0 22:40, 14 17:55, 5 21:20, 16 13:03, 14 00:17, 0 00:28</t>
        </is>
      </c>
    </row>
    <row r="110">
      <c r="A110" s="37" t="inlineStr">
        <is>
          <t>Helpdesk Management</t>
        </is>
      </c>
      <c r="B110" s="37" t="inlineStr">
        <is>
          <t>%OwnerId</t>
        </is>
      </c>
      <c r="C110" s="39" t="n">
        <v>30</v>
      </c>
      <c r="D110" s="37" t="inlineStr">
        <is>
          <t>Requests</t>
        </is>
      </c>
      <c r="E110" s="37" t="inlineStr"/>
      <c r="F110" s="37" t="inlineStr"/>
      <c r="G110" s="43" t="inlineStr">
        <is>
          <t>DEF112233445566790, STU112233445566795, PQR112233445574048, MNO112233445574002, JKL112233445574091, DEF112233445574098, ABC112233445566789, VWX112233445574095</t>
        </is>
      </c>
    </row>
    <row r="111">
      <c r="A111" s="32" t="inlineStr">
        <is>
          <t>Helpdesk Management</t>
        </is>
      </c>
      <c r="B111" s="32" t="inlineStr">
        <is>
          <t>Date</t>
        </is>
      </c>
      <c r="C111" s="34" t="n">
        <v>508</v>
      </c>
      <c r="D111" s="32" t="inlineStr">
        <is>
          <t>Requests, Calendar</t>
        </is>
      </c>
      <c r="E111" s="32" t="inlineStr"/>
      <c r="F111" s="32" t="inlineStr"/>
      <c r="G111" s="42" t="inlineStr">
        <is>
          <t>12/9/2011, 12/7/2011, 12/11/2011, 12/8/2011, 12/13/2011, 12/14/2011, 12/15/2011, 12/16/2011</t>
        </is>
      </c>
    </row>
    <row r="112">
      <c r="A112" s="37" t="inlineStr">
        <is>
          <t>Helpdesk Management</t>
        </is>
      </c>
      <c r="B112" s="37" t="inlineStr">
        <is>
          <t>Subject</t>
        </is>
      </c>
      <c r="C112" s="39" t="n">
        <v>123</v>
      </c>
      <c r="D112" s="37" t="inlineStr">
        <is>
          <t>Requests</t>
        </is>
      </c>
      <c r="E112" s="37" t="inlineStr"/>
      <c r="F112" s="37" t="inlineStr"/>
      <c r="G112" s="43" t="inlineStr">
        <is>
          <t>Calendar Request, General IT Support: FTP site access to receive client files, General IT Support: Shared folders access, General IT Support: E-mail distribution list needed, General IT Support: need new printer cartridge, New User Account Request, General IT Support: Infected PC, New Employee Setup Request</t>
        </is>
      </c>
    </row>
    <row r="113">
      <c r="A113" s="32" t="inlineStr">
        <is>
          <t>Helpdesk Management</t>
        </is>
      </c>
      <c r="B113" s="32" t="inlineStr">
        <is>
          <t>Case Owner</t>
        </is>
      </c>
      <c r="C113" s="34" t="n">
        <v>29</v>
      </c>
      <c r="D113" s="32" t="inlineStr">
        <is>
          <t>Requests</t>
        </is>
      </c>
      <c r="E113" s="32" t="inlineStr"/>
      <c r="F113" s="32" t="inlineStr"/>
      <c r="G113" s="42" t="inlineStr">
        <is>
          <t>Nathan C. Busterview, Denver M. Navy, Sona J. Pack, Salley R. Reasons, Lamont R. Modest, Clifford H. Huxtable, Robena E. Feister, Aileen C. Millimaki</t>
        </is>
      </c>
    </row>
    <row r="114">
      <c r="A114" s="37" t="inlineStr">
        <is>
          <t>Helpdesk Management</t>
        </is>
      </c>
      <c r="B114" s="37" t="inlineStr">
        <is>
          <t>Case Owner Group</t>
        </is>
      </c>
      <c r="C114" s="39" t="n">
        <v>6</v>
      </c>
      <c r="D114" s="37" t="inlineStr">
        <is>
          <t>Requests</t>
        </is>
      </c>
      <c r="E114" s="37" t="inlineStr"/>
      <c r="F114" s="37" t="inlineStr"/>
      <c r="G114" s="43" t="inlineStr">
        <is>
          <t>Systems, IT Infrastructure, Web Infrastructure, Operations, Non-IT/Systems, Systems Development</t>
        </is>
      </c>
    </row>
    <row r="115">
      <c r="A115" s="32" t="inlineStr">
        <is>
          <t>Helpdesk Management</t>
        </is>
      </c>
      <c r="B115" s="32" t="inlineStr">
        <is>
          <t>Employee Hire Date</t>
        </is>
      </c>
      <c r="C115" s="34" t="n">
        <v>27</v>
      </c>
      <c r="D115" s="32" t="inlineStr">
        <is>
          <t>Requests</t>
        </is>
      </c>
      <c r="E115" s="32" t="inlineStr"/>
      <c r="F115" s="32" t="inlineStr"/>
      <c r="G115" s="42" t="inlineStr">
        <is>
          <t>4/1/2010, 39722, 39331, 40334, 39739, 6/1/2008, 40430, 40452</t>
        </is>
      </c>
    </row>
    <row r="116">
      <c r="A116" s="37" t="inlineStr">
        <is>
          <t>Helpdesk Management</t>
        </is>
      </c>
      <c r="B116" s="37" t="inlineStr">
        <is>
          <t>Employee Status</t>
        </is>
      </c>
      <c r="C116" s="39" t="n">
        <v>2</v>
      </c>
      <c r="D116" s="37" t="inlineStr">
        <is>
          <t>Requests</t>
        </is>
      </c>
      <c r="E116" s="37" t="inlineStr"/>
      <c r="F116" s="37" t="inlineStr"/>
      <c r="G116" s="43" t="inlineStr">
        <is>
          <t>Active, Terminated</t>
        </is>
      </c>
    </row>
    <row r="117">
      <c r="A117" s="32" t="inlineStr">
        <is>
          <t>Helpdesk Management</t>
        </is>
      </c>
      <c r="B117" s="32" t="inlineStr">
        <is>
          <t>Week</t>
        </is>
      </c>
      <c r="C117" s="34" t="n">
        <v>90</v>
      </c>
      <c r="D117" s="32" t="inlineStr">
        <is>
          <t>Calendar</t>
        </is>
      </c>
      <c r="E117" s="32" t="inlineStr"/>
      <c r="F117" s="32" t="inlineStr"/>
      <c r="G117" s="42" t="inlineStr">
        <is>
          <t>41078, 41085, 41071, 41064, 41057, 41050, 41043, 41036</t>
        </is>
      </c>
    </row>
    <row r="118">
      <c r="A118" s="37" t="inlineStr">
        <is>
          <t>Helpdesk Management</t>
        </is>
      </c>
      <c r="B118" s="37" t="inlineStr">
        <is>
          <t>Open Cases</t>
        </is>
      </c>
      <c r="C118" s="39" t="n">
        <v>90</v>
      </c>
      <c r="D118" s="37" t="inlineStr">
        <is>
          <t>Calendar</t>
        </is>
      </c>
      <c r="E118" s="37" t="inlineStr"/>
      <c r="F118" s="37" t="inlineStr"/>
      <c r="G118" s="43" t="inlineStr">
        <is>
          <t>9118, 8909, 9066, 8800, 8462, 8226, 7959, 7662</t>
        </is>
      </c>
    </row>
    <row r="119">
      <c r="A119" s="32" t="inlineStr">
        <is>
          <t>Helpdesk Management</t>
        </is>
      </c>
      <c r="B119" s="32" t="inlineStr">
        <is>
          <t>Open Change Requests</t>
        </is>
      </c>
      <c r="C119" s="34" t="n">
        <v>73</v>
      </c>
      <c r="D119" s="32" t="inlineStr">
        <is>
          <t>Calendar</t>
        </is>
      </c>
      <c r="E119" s="32" t="inlineStr"/>
      <c r="F119" s="32" t="inlineStr"/>
      <c r="G119" s="42" t="inlineStr">
        <is>
          <t>362, 357, 371, 363, 337, 369, 361, 365</t>
        </is>
      </c>
    </row>
    <row r="120">
      <c r="A120" s="37" t="inlineStr">
        <is>
          <t>Helpdesk Management</t>
        </is>
      </c>
      <c r="B120" s="37" t="inlineStr">
        <is>
          <t>YearMonth</t>
        </is>
      </c>
      <c r="C120" s="39" t="n">
        <v>21</v>
      </c>
      <c r="D120" s="37" t="inlineStr">
        <is>
          <t>Calendar</t>
        </is>
      </c>
      <c r="E120" s="37" t="inlineStr"/>
      <c r="F120" s="37" t="inlineStr"/>
      <c r="G120" s="43" t="inlineStr">
        <is>
          <t>201206, 201205, 201204, 201203, 201202, 201201, 201112, 201111</t>
        </is>
      </c>
    </row>
    <row r="121">
      <c r="A121" s="32" t="inlineStr">
        <is>
          <t>Helpdesk Management</t>
        </is>
      </c>
      <c r="B121" s="32" t="inlineStr">
        <is>
          <t>Month</t>
        </is>
      </c>
      <c r="C121" s="34" t="n">
        <v>12</v>
      </c>
      <c r="D121" s="32" t="inlineStr">
        <is>
          <t>Calendar</t>
        </is>
      </c>
      <c r="E121" s="32" t="inlineStr"/>
      <c r="F121" s="32" t="inlineStr"/>
      <c r="G121" s="42" t="inlineStr">
        <is>
          <t>Jun, May, Apr, Mar, Feb, Jan, Dec, Nov</t>
        </is>
      </c>
    </row>
    <row r="122">
      <c r="A122" s="37" t="inlineStr">
        <is>
          <t>Helpdesk Management</t>
        </is>
      </c>
      <c r="B122" s="37" t="inlineStr">
        <is>
          <t>Year</t>
        </is>
      </c>
      <c r="C122" s="39" t="n">
        <v>3</v>
      </c>
      <c r="D122" s="37" t="inlineStr">
        <is>
          <t>Calendar</t>
        </is>
      </c>
      <c r="E122" s="37" t="inlineStr"/>
      <c r="F122" s="37" t="inlineStr">
        <is>
          <t>###0</t>
        </is>
      </c>
      <c r="G122" s="43" t="inlineStr">
        <is>
          <t>2012, 2011, 2010</t>
        </is>
      </c>
    </row>
    <row r="123">
      <c r="A123" s="32" t="inlineStr">
        <is>
          <t>Helpdesk Management</t>
        </is>
      </c>
      <c r="B123" s="32" t="inlineStr">
        <is>
          <t>Quarter</t>
        </is>
      </c>
      <c r="C123" s="34" t="n">
        <v>4</v>
      </c>
      <c r="D123" s="32" t="inlineStr">
        <is>
          <t>Calendar</t>
        </is>
      </c>
      <c r="E123" s="32" t="inlineStr"/>
      <c r="F123" s="32" t="inlineStr"/>
      <c r="G123" s="42" t="inlineStr">
        <is>
          <t>Q2, Q1, Q4, Q3</t>
        </is>
      </c>
    </row>
    <row r="124">
      <c r="A124" s="37" t="inlineStr">
        <is>
          <t>Helpdesk Management</t>
        </is>
      </c>
      <c r="B124" s="37" t="inlineStr">
        <is>
          <t>Number of New Cases</t>
        </is>
      </c>
      <c r="C124" s="39" t="n">
        <v>76</v>
      </c>
      <c r="D124" s="37" t="inlineStr">
        <is>
          <t>Calendar</t>
        </is>
      </c>
      <c r="E124" s="37" t="inlineStr"/>
      <c r="F124" s="37" t="inlineStr">
        <is>
          <t>###0</t>
        </is>
      </c>
      <c r="G124" s="43" t="inlineStr">
        <is>
          <t>233, 260, 316, 232, 259, 287, 246, 177</t>
        </is>
      </c>
    </row>
    <row r="125">
      <c r="A125" s="32" t="inlineStr">
        <is>
          <t>Helpdesk Management</t>
        </is>
      </c>
      <c r="B125" s="32" t="inlineStr">
        <is>
          <t>Number of Closed Cases</t>
        </is>
      </c>
      <c r="C125" s="34" t="n">
        <v>69</v>
      </c>
      <c r="D125" s="32" t="inlineStr">
        <is>
          <t>Calendar</t>
        </is>
      </c>
      <c r="E125" s="32" t="inlineStr"/>
      <c r="F125" s="32" t="inlineStr">
        <is>
          <t>###0</t>
        </is>
      </c>
      <c r="G125" s="42" t="inlineStr">
        <is>
          <t>198, 219, 290, 221, 287, 241, 223, 267</t>
        </is>
      </c>
    </row>
    <row r="126">
      <c r="A126" s="37" t="inlineStr">
        <is>
          <t>Sales Analysis</t>
        </is>
      </c>
      <c r="B126" s="37" t="inlineStr">
        <is>
          <t>CategoryID</t>
        </is>
      </c>
      <c r="C126" s="39" t="n">
        <v>8</v>
      </c>
      <c r="D126" s="37" t="inlineStr">
        <is>
          <t>Categories, Products</t>
        </is>
      </c>
      <c r="E126" s="37" t="inlineStr"/>
      <c r="F126" s="37" t="inlineStr"/>
      <c r="G126" s="43" t="inlineStr">
        <is>
          <t>1, 2, 3, 4, 5, 6, 7, 8</t>
        </is>
      </c>
    </row>
    <row r="127">
      <c r="A127" s="32" t="inlineStr">
        <is>
          <t>Sales Analysis</t>
        </is>
      </c>
      <c r="B127" s="32" t="inlineStr">
        <is>
          <t>CategoryName</t>
        </is>
      </c>
      <c r="C127" s="34" t="n">
        <v>8</v>
      </c>
      <c r="D127" s="32" t="inlineStr">
        <is>
          <t>Categories</t>
        </is>
      </c>
      <c r="E127" s="32" t="inlineStr"/>
      <c r="F127" s="32" t="inlineStr"/>
      <c r="G127" s="42" t="inlineStr">
        <is>
          <t>Men´s Clothes, Womens wear, Sportwear, Bath Clothes, Ladies´Footwear, Men´s Footwear, Children´s wear, Babywear</t>
        </is>
      </c>
    </row>
    <row r="128">
      <c r="A128" s="37" t="inlineStr">
        <is>
          <t>Sales Analysis</t>
        </is>
      </c>
      <c r="B128" s="37" t="inlineStr">
        <is>
          <t>Description</t>
        </is>
      </c>
      <c r="C128" s="39" t="n">
        <v>8</v>
      </c>
      <c r="D128" s="37" t="inlineStr">
        <is>
          <t>Categories</t>
        </is>
      </c>
      <c r="E128" s="37" t="inlineStr"/>
      <c r="F128" s="37" t="inlineStr"/>
      <c r="G128" s="43" t="inlineStr">
        <is>
          <t>Fashion for Men, Fashion for Women, Sports…, Beachwear, Ladies Shoes, Men Shoes, 3-15 Years, 0-3 Years</t>
        </is>
      </c>
    </row>
    <row r="129">
      <c r="A129" s="32" t="inlineStr">
        <is>
          <t>Sales Analysis</t>
        </is>
      </c>
      <c r="B129" s="32" t="inlineStr">
        <is>
          <t>Address</t>
        </is>
      </c>
      <c r="C129" s="34" t="n">
        <v>92</v>
      </c>
      <c r="D129" s="32" t="inlineStr">
        <is>
          <t>Customers</t>
        </is>
      </c>
      <c r="E129" s="32" t="inlineStr"/>
      <c r="F129" s="32" t="inlineStr"/>
      <c r="G129" s="42" t="inlineStr">
        <is>
          <t>1 rue Alsace-Lorraine, 2, rue du Commerce, 5ª Ave. Los Palos Grandes, 8 Johnstown Road, 12  Brewery, 12 Orchestra Terrace, 12, rue des Bouchers, 23 Tsawassen Blvd.</t>
        </is>
      </c>
    </row>
    <row r="130">
      <c r="A130" s="37" t="inlineStr">
        <is>
          <t>Sales Analysis</t>
        </is>
      </c>
      <c r="B130" s="37" t="inlineStr">
        <is>
          <t>City</t>
        </is>
      </c>
      <c r="C130" s="39" t="n">
        <v>70</v>
      </c>
      <c r="D130" s="37" t="inlineStr">
        <is>
          <t>Customers</t>
        </is>
      </c>
      <c r="E130" s="37" t="inlineStr"/>
      <c r="F130" s="37" t="inlineStr"/>
      <c r="G130" s="43" t="inlineStr">
        <is>
          <t>Toulouse, Lyon, Caracas, Cork, London, Walla Walla, Marseille, Tsawassen</t>
        </is>
      </c>
    </row>
    <row r="131">
      <c r="A131" s="32" t="inlineStr">
        <is>
          <t>Sales Analysis</t>
        </is>
      </c>
      <c r="B131" s="32" t="inlineStr">
        <is>
          <t>ContactName</t>
        </is>
      </c>
      <c r="C131" s="34" t="n">
        <v>92</v>
      </c>
      <c r="D131" s="32" t="inlineStr">
        <is>
          <t>Customers</t>
        </is>
      </c>
      <c r="E131" s="32" t="inlineStr"/>
      <c r="F131" s="32" t="inlineStr"/>
      <c r="G131" s="42" t="inlineStr">
        <is>
          <t>Louise Davu, Pierre Robert, Antonio Palmer Amer, Robert Bolero, Ian Wright, Klaus Tarantino, Bernard de Gaule, James Hendersson</t>
        </is>
      </c>
    </row>
    <row r="132">
      <c r="A132" s="37" t="inlineStr">
        <is>
          <t>Sales Analysis</t>
        </is>
      </c>
      <c r="B132" s="37" t="inlineStr">
        <is>
          <t>Country</t>
        </is>
      </c>
      <c r="C132" s="39" t="n">
        <v>21</v>
      </c>
      <c r="D132" s="37" t="inlineStr">
        <is>
          <t>Customers</t>
        </is>
      </c>
      <c r="E132" s="37" t="inlineStr"/>
      <c r="F132" s="37" t="inlineStr"/>
      <c r="G132" s="43" t="inlineStr">
        <is>
          <t>France, Venezuela, Ireland, United Kingdom, United States, Canada, Germany, Sweden</t>
        </is>
      </c>
    </row>
    <row r="133">
      <c r="A133" s="32" t="inlineStr">
        <is>
          <t>Sales Analysis</t>
        </is>
      </c>
      <c r="B133" s="32" t="inlineStr">
        <is>
          <t>Customer</t>
        </is>
      </c>
      <c r="C133" s="34" t="n">
        <v>92</v>
      </c>
      <c r="D133" s="32" t="inlineStr">
        <is>
          <t>Customers</t>
        </is>
      </c>
      <c r="E133" s="32" t="inlineStr"/>
      <c r="F133" s="32" t="inlineStr"/>
      <c r="G133" s="42" t="inlineStr">
        <is>
          <t>Design, Art et Fashion, El Abrigo Mortal, Boleros, The sharped dressed man, For The Dark Night, La Legion Mercenaire, Big Foot Shoes</t>
        </is>
      </c>
    </row>
    <row r="134">
      <c r="A134" s="37" t="inlineStr">
        <is>
          <t>Sales Analysis</t>
        </is>
      </c>
      <c r="B134" s="37" t="inlineStr">
        <is>
          <t>CustomerID</t>
        </is>
      </c>
      <c r="C134" s="39" t="n">
        <v>92</v>
      </c>
      <c r="D134" s="37" t="inlineStr">
        <is>
          <t>Customers, Orders$</t>
        </is>
      </c>
      <c r="E134" s="37" t="inlineStr"/>
      <c r="F134" s="37" t="inlineStr"/>
      <c r="G134" s="43" t="inlineStr">
        <is>
          <t>41, 84, 33, 37, 16, 43, 9, 10</t>
        </is>
      </c>
    </row>
    <row r="135">
      <c r="A135" s="32" t="inlineStr">
        <is>
          <t>Sales Analysis</t>
        </is>
      </c>
      <c r="B135" s="32" t="inlineStr">
        <is>
          <t>Fax</t>
        </is>
      </c>
      <c r="C135" s="34" t="n">
        <v>68</v>
      </c>
      <c r="D135" s="32" t="inlineStr">
        <is>
          <t>Customers</t>
        </is>
      </c>
      <c r="E135" s="32" t="inlineStr"/>
      <c r="F135" s="32" t="inlineStr"/>
      <c r="G135" s="42" t="inlineStr">
        <is>
          <t>61.77.61.11, 78.32.54.87, (2) 283-3397, NULL, (171) 555-9199, (509) 555-6221, 91.24.45.41, (604) 555-3745</t>
        </is>
      </c>
    </row>
    <row r="136">
      <c r="A136" s="37" t="inlineStr">
        <is>
          <t>Sales Analysis</t>
        </is>
      </c>
      <c r="B136" s="37" t="inlineStr">
        <is>
          <t>Phone</t>
        </is>
      </c>
      <c r="C136" s="39" t="n">
        <v>90</v>
      </c>
      <c r="D136" s="37" t="inlineStr">
        <is>
          <t>Customers</t>
        </is>
      </c>
      <c r="E136" s="37" t="inlineStr"/>
      <c r="F136" s="37" t="inlineStr"/>
      <c r="G136" s="43" t="inlineStr">
        <is>
          <t>61.77.61.10, 78.32.54.86, (2) 283-2951, NULL, (171) 555-2282, (509) 555-7969, 91.24.45.40, (604) 555-4729</t>
        </is>
      </c>
    </row>
    <row r="137">
      <c r="A137" s="32" t="inlineStr">
        <is>
          <t>Sales Analysis</t>
        </is>
      </c>
      <c r="B137" s="32" t="inlineStr">
        <is>
          <t>PostalCode</t>
        </is>
      </c>
      <c r="C137" s="34" t="n">
        <v>63</v>
      </c>
      <c r="D137" s="32" t="inlineStr">
        <is>
          <t>Customers</t>
        </is>
      </c>
      <c r="E137" s="32" t="inlineStr"/>
      <c r="F137" s="32" t="inlineStr"/>
      <c r="G137" s="42" t="inlineStr">
        <is>
          <t>31000, 69004, 1081, 12580, NULL, 99362, 13008, 67000</t>
        </is>
      </c>
    </row>
    <row r="138">
      <c r="A138" s="37" t="inlineStr">
        <is>
          <t>Sales Analysis</t>
        </is>
      </c>
      <c r="B138" s="37" t="inlineStr">
        <is>
          <t>CountryCode</t>
        </is>
      </c>
      <c r="C138" s="39" t="n">
        <v>21</v>
      </c>
      <c r="D138" s="37" t="inlineStr">
        <is>
          <t>Customers</t>
        </is>
      </c>
      <c r="E138" s="37" t="inlineStr"/>
      <c r="F138" s="37" t="inlineStr"/>
      <c r="G138" s="43" t="inlineStr">
        <is>
          <t>FR, VE, IE, GB, US, CA, DE, SE</t>
        </is>
      </c>
    </row>
    <row r="139">
      <c r="A139" s="32" t="inlineStr">
        <is>
          <t>Sales Analysis</t>
        </is>
      </c>
      <c r="B139" s="32" t="inlineStr">
        <is>
          <t>ISO3CountryCode</t>
        </is>
      </c>
      <c r="C139" s="34" t="n">
        <v>21</v>
      </c>
      <c r="D139" s="32" t="inlineStr">
        <is>
          <t>Customers</t>
        </is>
      </c>
      <c r="E139" s="32" t="inlineStr"/>
      <c r="F139" s="32" t="inlineStr"/>
      <c r="G139" s="42" t="inlineStr">
        <is>
          <t>FRA, VEN, IRL, GBR, USA, CAN, DEU, SWE</t>
        </is>
      </c>
    </row>
    <row r="140">
      <c r="A140" s="37" t="inlineStr">
        <is>
          <t>Sales Analysis</t>
        </is>
      </c>
      <c r="B140" s="37" t="inlineStr">
        <is>
          <t>ProductID</t>
        </is>
      </c>
      <c r="C140" s="39" t="n">
        <v>77</v>
      </c>
      <c r="D140" s="37" t="inlineStr">
        <is>
          <t>Products, Orders$</t>
        </is>
      </c>
      <c r="E140" s="37" t="inlineStr"/>
      <c r="F140" s="37" t="inlineStr"/>
      <c r="G140" s="43" t="inlineStr">
        <is>
          <t>1, 2, 3, 4, 5, 6, 7, 8</t>
        </is>
      </c>
    </row>
    <row r="141">
      <c r="A141" s="32" t="inlineStr">
        <is>
          <t>Sales Analysis</t>
        </is>
      </c>
      <c r="B141" s="32" t="inlineStr">
        <is>
          <t>ProductName</t>
        </is>
      </c>
      <c r="C141" s="34" t="n">
        <v>77</v>
      </c>
      <c r="D141" s="32" t="inlineStr">
        <is>
          <t>Products</t>
        </is>
      </c>
      <c r="E141" s="32" t="inlineStr"/>
      <c r="F141" s="32" t="inlineStr"/>
      <c r="G141" s="42" t="inlineStr">
        <is>
          <t>Lenin Jeansshorts, Mr X Trousers, Chantell Shirt, Oyaki Kimono, O-Man Underwear, Shagall Socks, Conserve Shoes, Tuxedo</t>
        </is>
      </c>
    </row>
    <row r="142">
      <c r="A142" s="37" t="inlineStr">
        <is>
          <t>Sales Analysis</t>
        </is>
      </c>
      <c r="B142" s="37" t="inlineStr">
        <is>
          <t>SupplierID</t>
        </is>
      </c>
      <c r="C142" s="39" t="n">
        <v>29</v>
      </c>
      <c r="D142" s="37" t="inlineStr">
        <is>
          <t>Products</t>
        </is>
      </c>
      <c r="E142" s="37" t="inlineStr"/>
      <c r="F142" s="37" t="inlineStr"/>
      <c r="G142" s="43" t="inlineStr">
        <is>
          <t>1, 2, 3, 4, 5, 6, 7, 8</t>
        </is>
      </c>
    </row>
    <row r="143">
      <c r="A143" s="32" t="inlineStr">
        <is>
          <t>Sales Analysis</t>
        </is>
      </c>
      <c r="B143" s="32" t="inlineStr">
        <is>
          <t>OrderID</t>
        </is>
      </c>
      <c r="C143" s="34" t="n">
        <v>836</v>
      </c>
      <c r="D143" s="32" t="inlineStr">
        <is>
          <t>Orders$</t>
        </is>
      </c>
      <c r="E143" s="32" t="inlineStr"/>
      <c r="F143" s="32" t="inlineStr"/>
      <c r="G143" s="42" t="inlineStr">
        <is>
          <t>10656, 10764, 10765, 10403, 10316, 10545, 10544, 10542</t>
        </is>
      </c>
    </row>
    <row r="144">
      <c r="A144" s="37" t="inlineStr">
        <is>
          <t>Sales Analysis</t>
        </is>
      </c>
      <c r="B144" s="37" t="inlineStr">
        <is>
          <t>OrderDate</t>
        </is>
      </c>
      <c r="C144" s="39" t="n">
        <v>527</v>
      </c>
      <c r="D144" s="37" t="inlineStr">
        <is>
          <t>Orders$</t>
        </is>
      </c>
      <c r="E144" s="37" t="inlineStr"/>
      <c r="F144" s="37" t="inlineStr"/>
      <c r="G144" s="43" t="inlineStr">
        <is>
          <t>2/29/2014, 42368, 42362, 42357, 42356, 42355, 42354, 42352</t>
        </is>
      </c>
    </row>
    <row r="145">
      <c r="A145" s="32" t="inlineStr">
        <is>
          <t>Sales Analysis</t>
        </is>
      </c>
      <c r="B145" s="32" t="inlineStr">
        <is>
          <t>EmployeeID</t>
        </is>
      </c>
      <c r="C145" s="34" t="n">
        <v>9</v>
      </c>
      <c r="D145" s="32" t="inlineStr">
        <is>
          <t>Orders$</t>
        </is>
      </c>
      <c r="E145" s="32" t="inlineStr"/>
      <c r="F145" s="32" t="inlineStr"/>
      <c r="G145" s="42" t="inlineStr">
        <is>
          <t>2, 7, 5, 3, 6, 9, 8, 4</t>
        </is>
      </c>
    </row>
    <row r="146">
      <c r="A146" s="37" t="inlineStr">
        <is>
          <t>Sales Analysis</t>
        </is>
      </c>
      <c r="B146" s="37" t="inlineStr">
        <is>
          <t>ShipperID</t>
        </is>
      </c>
      <c r="C146" s="39" t="n">
        <v>3</v>
      </c>
      <c r="D146" s="37" t="inlineStr">
        <is>
          <t>Orders$</t>
        </is>
      </c>
      <c r="E146" s="37" t="inlineStr"/>
      <c r="F146" s="37" t="inlineStr"/>
      <c r="G146" s="43" t="inlineStr">
        <is>
          <t>2, 1, 3</t>
        </is>
      </c>
    </row>
    <row r="147">
      <c r="A147" s="32" t="inlineStr">
        <is>
          <t>Sales Analysis</t>
        </is>
      </c>
      <c r="B147" s="32" t="inlineStr">
        <is>
          <t>Sales</t>
        </is>
      </c>
      <c r="C147" s="34" t="n">
        <v>2105</v>
      </c>
      <c r="D147" s="32" t="inlineStr">
        <is>
          <t>Orders$</t>
        </is>
      </c>
      <c r="E147" s="32" t="inlineStr"/>
      <c r="F147" s="32" t="inlineStr"/>
      <c r="G147" s="42" t="inlineStr">
        <is>
          <t>343.44, 140.4, 63.55, 205.2, 4048, 95.9, 3931.22, 163.36</t>
        </is>
      </c>
    </row>
    <row r="148">
      <c r="A148" s="37" t="inlineStr">
        <is>
          <t>Sales Analysis</t>
        </is>
      </c>
      <c r="B148" s="37" t="inlineStr">
        <is>
          <t>COS</t>
        </is>
      </c>
      <c r="C148" s="39" t="n">
        <v>2129</v>
      </c>
      <c r="D148" s="37" t="inlineStr">
        <is>
          <t>Orders$</t>
        </is>
      </c>
      <c r="E148" s="37" t="inlineStr"/>
      <c r="F148" s="37" t="inlineStr"/>
      <c r="G148" s="43" t="inlineStr">
        <is>
          <t>284.37, 116.25, 52.620000000000005, 169.91, 3642.67, 79.41000000000001, 2830.48, 117.61999999999999</t>
        </is>
      </c>
    </row>
    <row r="149">
      <c r="A149" s="32" t="inlineStr">
        <is>
          <t>Sales Analysis</t>
        </is>
      </c>
      <c r="B149" s="32" t="inlineStr">
        <is>
          <t>GP</t>
        </is>
      </c>
      <c r="C149" s="34" t="n">
        <v>2043</v>
      </c>
      <c r="D149" s="32" t="inlineStr">
        <is>
          <t>Orders$</t>
        </is>
      </c>
      <c r="E149" s="32" t="inlineStr"/>
      <c r="F149" s="32" t="inlineStr"/>
      <c r="G149" s="42" t="inlineStr">
        <is>
          <t>59.07, 24.150000000000002, 10.93, 35.290000000000006, 405.33, 16.48999999999999, 1100.74, 45.74</t>
        </is>
      </c>
    </row>
    <row r="150">
      <c r="A150" s="37" t="inlineStr">
        <is>
          <t>Sales Analysis</t>
        </is>
      </c>
      <c r="B150" s="37" t="inlineStr">
        <is>
          <t>Quantity</t>
        </is>
      </c>
      <c r="C150" s="39" t="n">
        <v>56</v>
      </c>
      <c r="D150" s="37" t="inlineStr">
        <is>
          <t>Orders$</t>
        </is>
      </c>
      <c r="E150" s="37" t="inlineStr"/>
      <c r="F150" s="37" t="inlineStr"/>
      <c r="G150" s="43" t="inlineStr">
        <is>
          <t>12, 10, 5, 9, 40, 35, 15, 6</t>
        </is>
      </c>
    </row>
    <row r="151">
      <c r="A151" s="32" t="inlineStr">
        <is>
          <t>Sales Analysis</t>
        </is>
      </c>
      <c r="B151" s="32" t="inlineStr">
        <is>
          <t>Discount</t>
        </is>
      </c>
      <c r="C151" s="34" t="n">
        <v>814</v>
      </c>
      <c r="D151" s="32" t="inlineStr">
        <is>
          <t>Orders$</t>
        </is>
      </c>
      <c r="E151" s="32" t="inlineStr"/>
      <c r="F151" s="32" t="inlineStr"/>
      <c r="G151" s="42" t="inlineStr">
        <is>
          <t>0, 512.7700000000001, 21.310000000000002, 1.02, 15.84, 151.86, 29.55, 10.17</t>
        </is>
      </c>
    </row>
    <row r="152">
      <c r="A152" s="37" t="inlineStr">
        <is>
          <t>Sales Analysis</t>
        </is>
      </c>
      <c r="B152" s="37" t="inlineStr">
        <is>
          <t>Freight</t>
        </is>
      </c>
      <c r="C152" s="39" t="n">
        <v>783</v>
      </c>
      <c r="D152" s="37" t="inlineStr">
        <is>
          <t>Orders$</t>
        </is>
      </c>
      <c r="E152" s="37" t="inlineStr"/>
      <c r="F152" s="37" t="inlineStr"/>
      <c r="G152" s="43" t="inlineStr">
        <is>
          <t>43.48, 29.2, 79.16999999999999, 43.41, 23.2, 66.54, 49.18, 43.89</t>
        </is>
      </c>
    </row>
    <row r="153">
      <c r="A153" s="32" t="inlineStr">
        <is>
          <t>Sales Analysis</t>
        </is>
      </c>
      <c r="B153" s="32" t="inlineStr">
        <is>
          <t>F13</t>
        </is>
      </c>
      <c r="C153" s="34" t="n">
        <v>0</v>
      </c>
      <c r="D153" s="32" t="inlineStr">
        <is>
          <t>Orders$</t>
        </is>
      </c>
      <c r="E153" s="32" t="inlineStr"/>
      <c r="F153" s="32" t="inlineStr"/>
      <c r="G153" s="42" t="inlineStr"/>
    </row>
    <row r="154">
      <c r="A154" s="37" t="inlineStr">
        <is>
          <t>TryConfigColorAndAgrField</t>
        </is>
      </c>
      <c r="B154" s="37" t="inlineStr">
        <is>
          <t>NomeProdotto</t>
        </is>
      </c>
      <c r="C154" s="39" t="n">
        <v>3</v>
      </c>
      <c r="D154" s="37" t="inlineStr">
        <is>
          <t>Data</t>
        </is>
      </c>
      <c r="E154" s="37" t="inlineStr"/>
      <c r="F154" s="37" t="inlineStr"/>
      <c r="G154" s="43" t="inlineStr">
        <is>
          <t>Prodotto1, Prodotto2, Prodotto3</t>
        </is>
      </c>
    </row>
    <row r="155">
      <c r="A155" s="32" t="inlineStr">
        <is>
          <t>TryConfigColorAndAgrField</t>
        </is>
      </c>
      <c r="B155" s="32" t="inlineStr">
        <is>
          <t>PrezzoAcquisto</t>
        </is>
      </c>
      <c r="C155" s="34" t="n">
        <v>3</v>
      </c>
      <c r="D155" s="32" t="inlineStr">
        <is>
          <t>Data</t>
        </is>
      </c>
      <c r="E155" s="32" t="inlineStr"/>
      <c r="F155" s="32" t="inlineStr"/>
      <c r="G155" s="42" t="inlineStr">
        <is>
          <t>100, 200, 300</t>
        </is>
      </c>
    </row>
    <row r="156">
      <c r="A156" s="37" t="inlineStr">
        <is>
          <t>TryConfigColorAndAgrField</t>
        </is>
      </c>
      <c r="B156" s="37" t="inlineStr">
        <is>
          <t>PrezzoRivendita</t>
        </is>
      </c>
      <c r="C156" s="39" t="n">
        <v>3</v>
      </c>
      <c r="D156" s="37" t="inlineStr">
        <is>
          <t>Data</t>
        </is>
      </c>
      <c r="E156" s="37" t="inlineStr"/>
      <c r="F156" s="37" t="inlineStr"/>
      <c r="G156" s="43" t="inlineStr">
        <is>
          <t>110, 210, 310</t>
        </is>
      </c>
    </row>
    <row r="157">
      <c r="A157" s="32" t="inlineStr">
        <is>
          <t>TryConfigColorAndAgrField</t>
        </is>
      </c>
      <c r="B157" s="32" t="inlineStr">
        <is>
          <t>TipoPrezzo</t>
        </is>
      </c>
      <c r="C157" s="34" t="n">
        <v>2</v>
      </c>
      <c r="D157" s="32" t="inlineStr">
        <is>
          <t>TipiPrezzo</t>
        </is>
      </c>
      <c r="E157" s="32" t="inlineStr"/>
      <c r="F157" s="32" t="inlineStr"/>
      <c r="G157" s="42" t="inlineStr">
        <is>
          <t>PrezzoAcquisto, PrezzoRivendita</t>
        </is>
      </c>
    </row>
    <row r="158">
      <c r="A158" s="37" t="inlineStr">
        <is>
          <t>TryConfigColorAndAgrField</t>
        </is>
      </c>
      <c r="B158" s="37" t="inlineStr">
        <is>
          <t>DescTipoPrezzo</t>
        </is>
      </c>
      <c r="C158" s="39" t="n">
        <v>2</v>
      </c>
      <c r="D158" s="37" t="inlineStr">
        <is>
          <t>TipiPrezzo</t>
        </is>
      </c>
      <c r="E158" s="37" t="inlineStr"/>
      <c r="F158" s="37" t="inlineStr"/>
      <c r="G158" s="43" t="inlineStr">
        <is>
          <t>Prezzo di acquisto, Prezzo di rivendita</t>
        </is>
      </c>
    </row>
    <row r="159">
      <c r="A159" s="32" t="inlineStr">
        <is>
          <t>TryExtensions</t>
        </is>
      </c>
      <c r="B159" s="32" t="inlineStr">
        <is>
          <t>Alpha</t>
        </is>
      </c>
      <c r="C159" s="34" t="n">
        <v>26</v>
      </c>
      <c r="D159" s="32" t="inlineStr">
        <is>
          <t>Characters</t>
        </is>
      </c>
      <c r="E159" s="32" t="inlineStr"/>
      <c r="F159" s="32" t="inlineStr"/>
      <c r="G159" s="42" t="inlineStr">
        <is>
          <t>A, B, C, D, E, F, G, H</t>
        </is>
      </c>
    </row>
    <row r="160">
      <c r="A160" s="37" t="inlineStr">
        <is>
          <t>TryExtensions</t>
        </is>
      </c>
      <c r="B160" s="37" t="inlineStr">
        <is>
          <t>Num</t>
        </is>
      </c>
      <c r="C160" s="39" t="n">
        <v>26</v>
      </c>
      <c r="D160" s="37" t="inlineStr">
        <is>
          <t>Characters, ASCII, Transactions</t>
        </is>
      </c>
      <c r="E160" s="37" t="inlineStr"/>
      <c r="F160" s="37" t="inlineStr">
        <is>
          <t>###0</t>
        </is>
      </c>
      <c r="G160" s="43" t="inlineStr">
        <is>
          <t>1, 2, 3, 4, 5, 6, 7, 8</t>
        </is>
      </c>
    </row>
    <row r="161">
      <c r="A161" s="32" t="inlineStr">
        <is>
          <t>TryExtensions</t>
        </is>
      </c>
      <c r="B161" s="32" t="inlineStr">
        <is>
          <t>AsciiAlpha</t>
        </is>
      </c>
      <c r="C161" s="34" t="n">
        <v>191</v>
      </c>
      <c r="D161" s="32" t="inlineStr">
        <is>
          <t>ASCII</t>
        </is>
      </c>
      <c r="E161" s="32" t="inlineStr"/>
      <c r="F161" s="32" t="inlineStr"/>
      <c r="G161" s="42" t="inlineStr">
        <is>
          <t xml:space="preserve"> , !, ", #, $, %, &amp;, '</t>
        </is>
      </c>
    </row>
    <row r="162">
      <c r="A162" s="37" t="inlineStr">
        <is>
          <t>TryExtensions</t>
        </is>
      </c>
      <c r="B162" s="37" t="inlineStr">
        <is>
          <t>AsciiNum</t>
        </is>
      </c>
      <c r="C162" s="39" t="n">
        <v>191</v>
      </c>
      <c r="D162" s="37" t="inlineStr">
        <is>
          <t>ASCII</t>
        </is>
      </c>
      <c r="E162" s="37" t="inlineStr"/>
      <c r="F162" s="37" t="inlineStr">
        <is>
          <t>###0</t>
        </is>
      </c>
      <c r="G162" s="43" t="inlineStr">
        <is>
          <t>32, 33, 34, 35, 36, 37, 38, 39</t>
        </is>
      </c>
    </row>
    <row r="163">
      <c r="A163" s="32" t="inlineStr">
        <is>
          <t>TryExtensions</t>
        </is>
      </c>
      <c r="B163" s="32" t="inlineStr">
        <is>
          <t>TransLineID</t>
        </is>
      </c>
      <c r="C163" s="34" t="n">
        <v>12</v>
      </c>
      <c r="D163" s="32" t="inlineStr">
        <is>
          <t>Transactions</t>
        </is>
      </c>
      <c r="E163" s="32" t="inlineStr"/>
      <c r="F163" s="32" t="inlineStr">
        <is>
          <t>###0</t>
        </is>
      </c>
      <c r="G163" s="42" t="inlineStr">
        <is>
          <t>1, 2, 3, 4, 5, 6, 7, 8</t>
        </is>
      </c>
    </row>
    <row r="164">
      <c r="A164" s="37" t="inlineStr">
        <is>
          <t>TryExtensions</t>
        </is>
      </c>
      <c r="B164" s="37" t="inlineStr">
        <is>
          <t>TransID</t>
        </is>
      </c>
      <c r="C164" s="39" t="n">
        <v>1000</v>
      </c>
      <c r="D164" s="37" t="inlineStr">
        <is>
          <t>Transactions</t>
        </is>
      </c>
      <c r="E164" s="37" t="inlineStr"/>
      <c r="F164" s="37" t="inlineStr">
        <is>
          <t>###0</t>
        </is>
      </c>
      <c r="G164" s="43" t="inlineStr">
        <is>
          <t>1, 2, 3, 4, 5, 6, 7, 8</t>
        </is>
      </c>
    </row>
    <row r="165">
      <c r="A165" s="32" t="inlineStr">
        <is>
          <t>TryExtensions</t>
        </is>
      </c>
      <c r="B165" s="32" t="inlineStr">
        <is>
          <t>Dim1</t>
        </is>
      </c>
      <c r="C165" s="34" t="n">
        <v>3</v>
      </c>
      <c r="D165" s="32" t="inlineStr">
        <is>
          <t>Transactions</t>
        </is>
      </c>
      <c r="E165" s="32" t="inlineStr"/>
      <c r="F165" s="32" t="inlineStr"/>
      <c r="G165" s="42" t="inlineStr">
        <is>
          <t>A, C, B</t>
        </is>
      </c>
    </row>
    <row r="166">
      <c r="A166" s="37" t="inlineStr">
        <is>
          <t>TryExtensions</t>
        </is>
      </c>
      <c r="B166" s="37" t="inlineStr">
        <is>
          <t>Dim2</t>
        </is>
      </c>
      <c r="C166" s="39" t="n">
        <v>6</v>
      </c>
      <c r="D166" s="37" t="inlineStr">
        <is>
          <t>Transactions</t>
        </is>
      </c>
      <c r="E166" s="37" t="inlineStr"/>
      <c r="F166" s="37" t="inlineStr"/>
      <c r="G166" s="43" t="inlineStr">
        <is>
          <t>b, f, e, a, d, c</t>
        </is>
      </c>
    </row>
    <row r="167">
      <c r="A167" s="32" t="inlineStr">
        <is>
          <t>TryExtensions</t>
        </is>
      </c>
      <c r="B167" s="32" t="inlineStr">
        <is>
          <t>Dim3</t>
        </is>
      </c>
      <c r="C167" s="34" t="n">
        <v>3</v>
      </c>
      <c r="D167" s="32" t="inlineStr">
        <is>
          <t>Transactions</t>
        </is>
      </c>
      <c r="E167" s="32" t="inlineStr"/>
      <c r="F167" s="32" t="inlineStr"/>
      <c r="G167" s="42" t="inlineStr">
        <is>
          <t>X, Y, Z</t>
        </is>
      </c>
    </row>
    <row r="168">
      <c r="A168" s="37" t="inlineStr">
        <is>
          <t>TryExtensions</t>
        </is>
      </c>
      <c r="B168" s="37" t="inlineStr">
        <is>
          <t>Expression1</t>
        </is>
      </c>
      <c r="C168" s="39" t="n">
        <v>452</v>
      </c>
      <c r="D168" s="37" t="inlineStr">
        <is>
          <t>Transactions</t>
        </is>
      </c>
      <c r="E168" s="37" t="inlineStr"/>
      <c r="F168" s="37" t="inlineStr">
        <is>
          <t>###0</t>
        </is>
      </c>
      <c r="G168" s="43" t="inlineStr">
        <is>
          <t>2, 542, 21, 54, 7, 1, 99, 88</t>
        </is>
      </c>
    </row>
    <row r="169">
      <c r="A169" s="32" t="inlineStr">
        <is>
          <t>TryExtensions</t>
        </is>
      </c>
      <c r="B169" s="32" t="inlineStr">
        <is>
          <t>Expression2</t>
        </is>
      </c>
      <c r="C169" s="34" t="n">
        <v>10</v>
      </c>
      <c r="D169" s="32" t="inlineStr">
        <is>
          <t>Transactions</t>
        </is>
      </c>
      <c r="E169" s="32" t="inlineStr"/>
      <c r="F169" s="32" t="inlineStr">
        <is>
          <t>###0</t>
        </is>
      </c>
      <c r="G169" s="42" t="inlineStr">
        <is>
          <t>2, 1, 0, 3, 5, 4, 7, 6</t>
        </is>
      </c>
    </row>
    <row r="170">
      <c r="A170" s="37" t="inlineStr">
        <is>
          <t>TryExtensions</t>
        </is>
      </c>
      <c r="B170" s="37" t="inlineStr">
        <is>
          <t>Expression3</t>
        </is>
      </c>
      <c r="C170" s="39" t="n">
        <v>1908</v>
      </c>
      <c r="D170" s="37" t="inlineStr">
        <is>
          <t>Transactions</t>
        </is>
      </c>
      <c r="E170" s="37" t="inlineStr"/>
      <c r="F170" s="37" t="inlineStr">
        <is>
          <t>###0,00000</t>
        </is>
      </c>
      <c r="G170" s="43" t="inlineStr">
        <is>
          <t>0.13812000000000002, 0.5273300000000001, 0.027030000000000002, 0.61104, 0.007180000000000001, 0.18808000000000002, 0.5007400000000001, 0.10169</t>
        </is>
      </c>
    </row>
    <row r="171">
      <c r="A171" s="32" t="inlineStr">
        <is>
          <t>TryExtensions</t>
        </is>
      </c>
      <c r="B171" s="32" t="inlineStr">
        <is>
          <t>Month</t>
        </is>
      </c>
      <c r="C171" s="34" t="n">
        <v>12</v>
      </c>
      <c r="D171" s="32" t="inlineStr">
        <is>
          <t>INLFED</t>
        </is>
      </c>
      <c r="E171" s="32" t="inlineStr"/>
      <c r="F171" s="32" t="inlineStr"/>
      <c r="G171" s="42" t="inlineStr">
        <is>
          <t>1, 2, 3, 4, 5, 6, 7, 8</t>
        </is>
      </c>
    </row>
    <row r="172">
      <c r="A172" s="37" t="inlineStr">
        <is>
          <t>TryExtensions</t>
        </is>
      </c>
      <c r="B172" s="37" t="inlineStr">
        <is>
          <t>Quarter</t>
        </is>
      </c>
      <c r="C172" s="39" t="n">
        <v>4</v>
      </c>
      <c r="D172" s="37" t="inlineStr">
        <is>
          <t>INLFED</t>
        </is>
      </c>
      <c r="E172" s="37" t="inlineStr"/>
      <c r="F172" s="37" t="inlineStr"/>
      <c r="G172" s="43" t="inlineStr">
        <is>
          <t>Q1, Q2, Q3, Q4</t>
        </is>
      </c>
    </row>
    <row r="173">
      <c r="A173" s="32" t="inlineStr">
        <is>
          <t>TryExtensions</t>
        </is>
      </c>
      <c r="B173" s="32" t="inlineStr">
        <is>
          <t>Import</t>
        </is>
      </c>
      <c r="C173" s="34" t="n">
        <v>10</v>
      </c>
      <c r="D173" s="32" t="inlineStr">
        <is>
          <t>INLFED</t>
        </is>
      </c>
      <c r="E173" s="32" t="inlineStr"/>
      <c r="F173" s="32" t="inlineStr"/>
      <c r="G173" s="42" t="inlineStr">
        <is>
          <t>10, 40, 25, 45, 50, 75, 30, 15</t>
        </is>
      </c>
    </row>
    <row r="174">
      <c r="A174" s="37" t="inlineStr">
        <is>
          <t>Tutorial creazione nuova app</t>
        </is>
      </c>
      <c r="B174" s="37" t="inlineStr">
        <is>
          <t>%KEY</t>
        </is>
      </c>
      <c r="C174" s="39" t="n">
        <v>96466</v>
      </c>
      <c r="D174" s="37" t="inlineStr">
        <is>
          <t>Sales</t>
        </is>
      </c>
      <c r="E174" s="37" t="inlineStr"/>
      <c r="F174" s="37" t="inlineStr"/>
      <c r="G174" s="43" t="inlineStr">
        <is>
          <t>3428, 3429, 3430, 3431, 3432, 3433, 3434, 3435</t>
        </is>
      </c>
    </row>
    <row r="175">
      <c r="A175" s="32" t="inlineStr">
        <is>
          <t>Tutorial creazione nuova app</t>
        </is>
      </c>
      <c r="B175" s="32" t="inlineStr">
        <is>
          <t>Cost</t>
        </is>
      </c>
      <c r="C175" s="34" t="n">
        <v>8693</v>
      </c>
      <c r="D175" s="32" t="inlineStr">
        <is>
          <t>Sales</t>
        </is>
      </c>
      <c r="E175" s="32" t="inlineStr"/>
      <c r="F175" s="32" t="inlineStr"/>
      <c r="G175" s="42" t="inlineStr">
        <is>
          <t>-513.15, -105.93, -88.07, -43.120000000000005, -37.980000000000004, -49.37, -45.809999999999995, -12.56</t>
        </is>
      </c>
    </row>
    <row r="176">
      <c r="A176" s="37" t="inlineStr">
        <is>
          <t>Tutorial creazione nuova app</t>
        </is>
      </c>
      <c r="B176" s="37" t="inlineStr">
        <is>
          <t>Customer Number</t>
        </is>
      </c>
      <c r="C176" s="39" t="n">
        <v>683</v>
      </c>
      <c r="D176" s="37" t="inlineStr">
        <is>
          <t>Sales, Customer</t>
        </is>
      </c>
      <c r="E176" s="37" t="inlineStr"/>
      <c r="F176" s="37" t="inlineStr"/>
      <c r="G176" s="43" t="inlineStr">
        <is>
          <t>10012226, 10002489, 10008381, 10000486, 10021472, 10000453, 10026532, 10015793</t>
        </is>
      </c>
    </row>
    <row r="177">
      <c r="A177" s="32" t="inlineStr">
        <is>
          <t>Tutorial creazione nuova app</t>
        </is>
      </c>
      <c r="B177" s="32" t="inlineStr">
        <is>
          <t>Date</t>
        </is>
      </c>
      <c r="C177" s="34" t="n">
        <v>897</v>
      </c>
      <c r="D177" s="32" t="inlineStr">
        <is>
          <t>Sales, MasterCalendar</t>
        </is>
      </c>
      <c r="E177" s="32" t="inlineStr"/>
      <c r="F177" s="32" t="inlineStr"/>
      <c r="G177" s="42" t="inlineStr">
        <is>
          <t>40920, 40921, 40926, 40927, 40928, 40929, 40930, 40933</t>
        </is>
      </c>
    </row>
    <row r="178">
      <c r="A178" s="37" t="inlineStr">
        <is>
          <t>Tutorial creazione nuova app</t>
        </is>
      </c>
      <c r="B178" s="37" t="inlineStr">
        <is>
          <t>GrossSales</t>
        </is>
      </c>
      <c r="C178" s="39" t="n">
        <v>17324</v>
      </c>
      <c r="D178" s="37" t="inlineStr">
        <is>
          <t>Sales</t>
        </is>
      </c>
      <c r="E178" s="37" t="inlineStr"/>
      <c r="F178" s="37" t="inlineStr"/>
      <c r="G178" s="43" t="inlineStr">
        <is>
          <t>-573.3835, -204.66379999999998, -165.8016, -118.37029999999999, -102.3319, -85.5766, -68.4399, -67.38219999999998</t>
        </is>
      </c>
    </row>
    <row r="179">
      <c r="A179" s="32" t="inlineStr">
        <is>
          <t>Tutorial creazione nuova app</t>
        </is>
      </c>
      <c r="B179" s="32" t="inlineStr">
        <is>
          <t>Invoice Date</t>
        </is>
      </c>
      <c r="C179" s="34" t="n">
        <v>626</v>
      </c>
      <c r="D179" s="32" t="inlineStr">
        <is>
          <t>Sales</t>
        </is>
      </c>
      <c r="E179" s="32" t="inlineStr"/>
      <c r="F179" s="32" t="inlineStr"/>
      <c r="G179" s="42" t="inlineStr">
        <is>
          <t>40920, 40921, 40926, 40927, 40928, 40929, 40930, 40933</t>
        </is>
      </c>
    </row>
    <row r="180">
      <c r="A180" s="37" t="inlineStr">
        <is>
          <t>Tutorial creazione nuova app</t>
        </is>
      </c>
      <c r="B180" s="37" t="inlineStr">
        <is>
          <t>Invoice Number</t>
        </is>
      </c>
      <c r="C180" s="39" t="n">
        <v>38314</v>
      </c>
      <c r="D180" s="37" t="inlineStr">
        <is>
          <t>Sales</t>
        </is>
      </c>
      <c r="E180" s="37" t="inlineStr"/>
      <c r="F180" s="37" t="inlineStr"/>
      <c r="G180" s="43" t="inlineStr">
        <is>
          <t>318960, 319167, 319174, 319069, 319142, 319153, 319119, 319164</t>
        </is>
      </c>
    </row>
    <row r="181">
      <c r="A181" s="32" t="inlineStr">
        <is>
          <t>Tutorial creazione nuova app</t>
        </is>
      </c>
      <c r="B181" s="32" t="inlineStr">
        <is>
          <t>Item Desc</t>
        </is>
      </c>
      <c r="C181" s="34" t="n">
        <v>825</v>
      </c>
      <c r="D181" s="32" t="inlineStr">
        <is>
          <t>Sales</t>
        </is>
      </c>
      <c r="E181" s="32" t="inlineStr"/>
      <c r="F181" s="32" t="inlineStr"/>
      <c r="G181" s="42" t="inlineStr">
        <is>
          <t>Cutting Edge Sliced Ham, Washington Cranberry Juice, Moms Sliced Ham, Tip Top Lox, Just Right Beef Soup, Fantastic Pumpernickel Bread, Gorilla 1% Milk, Pearl Chardonnay</t>
        </is>
      </c>
    </row>
    <row r="182">
      <c r="A182" s="37" t="inlineStr">
        <is>
          <t>Tutorial creazione nuova app</t>
        </is>
      </c>
      <c r="B182" s="37" t="inlineStr">
        <is>
          <t>Item Number</t>
        </is>
      </c>
      <c r="C182" s="39" t="n">
        <v>827</v>
      </c>
      <c r="D182" s="37" t="inlineStr">
        <is>
          <t>Sales, Item master</t>
        </is>
      </c>
      <c r="E182" s="37" t="inlineStr"/>
      <c r="F182" s="37" t="inlineStr"/>
      <c r="G182" s="43" t="inlineStr">
        <is>
          <t>10696, 10009, 10385, 10215, 10965, 10901, 10681, 10898</t>
        </is>
      </c>
    </row>
    <row r="183">
      <c r="A183" s="32" t="inlineStr">
        <is>
          <t>Tutorial creazione nuova app</t>
        </is>
      </c>
      <c r="B183" s="32" t="inlineStr">
        <is>
          <t>Margin</t>
        </is>
      </c>
      <c r="C183" s="34" t="n">
        <v>25550</v>
      </c>
      <c r="D183" s="32" t="inlineStr">
        <is>
          <t>Sales</t>
        </is>
      </c>
      <c r="E183" s="32" t="inlineStr"/>
      <c r="F183" s="32" t="inlineStr"/>
      <c r="G183" s="42" t="inlineStr">
        <is>
          <t>-37.290000000000006, -90.54, -71.1, -70.52, -60.260000000000005, -32.790000000000006, -19.89, -52.120000000000005</t>
        </is>
      </c>
    </row>
    <row r="184">
      <c r="A184" s="37" t="inlineStr">
        <is>
          <t>Tutorial creazione nuova app</t>
        </is>
      </c>
      <c r="B184" s="37" t="inlineStr">
        <is>
          <t>Order Number</t>
        </is>
      </c>
      <c r="C184" s="39" t="n">
        <v>29072</v>
      </c>
      <c r="D184" s="37" t="inlineStr">
        <is>
          <t>Sales</t>
        </is>
      </c>
      <c r="E184" s="37" t="inlineStr"/>
      <c r="F184" s="37" t="inlineStr"/>
      <c r="G184" s="43" t="inlineStr">
        <is>
          <t>115785, 116691, 116701, 116629, 116622, 116657, 116426, 116681</t>
        </is>
      </c>
    </row>
    <row r="185">
      <c r="A185" s="32" t="inlineStr">
        <is>
          <t>Tutorial creazione nuova app</t>
        </is>
      </c>
      <c r="B185" s="32" t="inlineStr">
        <is>
          <t>Promised Delivery Date</t>
        </is>
      </c>
      <c r="C185" s="34" t="n">
        <v>676</v>
      </c>
      <c r="D185" s="32" t="inlineStr">
        <is>
          <t>Sales</t>
        </is>
      </c>
      <c r="E185" s="32" t="inlineStr"/>
      <c r="F185" s="32" t="inlineStr"/>
      <c r="G185" s="42" t="inlineStr">
        <is>
          <t>40920, 40921, 40926, 40927, 40928, 40929, 40930, 40933</t>
        </is>
      </c>
    </row>
    <row r="186">
      <c r="A186" s="37" t="inlineStr">
        <is>
          <t>Tutorial creazione nuova app</t>
        </is>
      </c>
      <c r="B186" s="37" t="inlineStr">
        <is>
          <t>Sales</t>
        </is>
      </c>
      <c r="C186" s="39" t="n">
        <v>26157</v>
      </c>
      <c r="D186" s="37" t="inlineStr">
        <is>
          <t>Sales</t>
        </is>
      </c>
      <c r="E186" s="37" t="inlineStr"/>
      <c r="F186" s="37" t="inlineStr"/>
      <c r="G186" s="43" t="inlineStr">
        <is>
          <t>-550.4399999999999, -196.47, -159.17, -113.64, -98.24000000000001, -82.16, -65.7, -64.67999999999999</t>
        </is>
      </c>
    </row>
    <row r="187">
      <c r="A187" s="32" t="inlineStr">
        <is>
          <t>Tutorial creazione nuova app</t>
        </is>
      </c>
      <c r="B187" s="32" t="inlineStr">
        <is>
          <t>Sales Qty</t>
        </is>
      </c>
      <c r="C187" s="34" t="n">
        <v>303</v>
      </c>
      <c r="D187" s="32" t="inlineStr">
        <is>
          <t>Sales</t>
        </is>
      </c>
      <c r="E187" s="32" t="inlineStr"/>
      <c r="F187" s="32" t="inlineStr"/>
      <c r="G187" s="42" t="inlineStr">
        <is>
          <t>-1, -2, -3, 1, 2, 3, 6, 50</t>
        </is>
      </c>
    </row>
    <row r="188">
      <c r="A188" s="37" t="inlineStr">
        <is>
          <t>Tutorial creazione nuova app</t>
        </is>
      </c>
      <c r="B188" s="37" t="inlineStr">
        <is>
          <t>Sales Rep Number</t>
        </is>
      </c>
      <c r="C188" s="39" t="n">
        <v>64</v>
      </c>
      <c r="D188" s="37" t="inlineStr">
        <is>
          <t>Sales, Sales rep</t>
        </is>
      </c>
      <c r="E188" s="37" t="inlineStr"/>
      <c r="F188" s="37" t="inlineStr"/>
      <c r="G188" s="43" t="inlineStr">
        <is>
          <t>180, 109, 111, 162, 154, 125, 167, 182</t>
        </is>
      </c>
    </row>
    <row r="189">
      <c r="A189" s="32" t="inlineStr">
        <is>
          <t>Tutorial creazione nuova app</t>
        </is>
      </c>
      <c r="B189" s="32" t="inlineStr">
        <is>
          <t>Product Group</t>
        </is>
      </c>
      <c r="C189" s="34" t="n">
        <v>15</v>
      </c>
      <c r="D189" s="32" t="inlineStr">
        <is>
          <t>Item master</t>
        </is>
      </c>
      <c r="E189" s="32" t="inlineStr"/>
      <c r="F189" s="32" t="inlineStr"/>
      <c r="G189" s="42" t="inlineStr">
        <is>
          <t>Beverages, Breakfast Foods, Canned Products, Dairy, Deli, Eggs, Frozen Foods, Meat</t>
        </is>
      </c>
    </row>
    <row r="190">
      <c r="A190" s="37" t="inlineStr">
        <is>
          <t>Tutorial creazione nuova app</t>
        </is>
      </c>
      <c r="B190" s="37" t="inlineStr">
        <is>
          <t>Product Line</t>
        </is>
      </c>
      <c r="C190" s="39" t="n">
        <v>2</v>
      </c>
      <c r="D190" s="37" t="inlineStr">
        <is>
          <t>Item master</t>
        </is>
      </c>
      <c r="E190" s="37" t="inlineStr"/>
      <c r="F190" s="37" t="inlineStr"/>
      <c r="G190" s="43" t="inlineStr">
        <is>
          <t>Drink, Food</t>
        </is>
      </c>
    </row>
    <row r="191">
      <c r="A191" s="32" t="inlineStr">
        <is>
          <t>Tutorial creazione nuova app</t>
        </is>
      </c>
      <c r="B191" s="32" t="inlineStr">
        <is>
          <t>Product Sub Group</t>
        </is>
      </c>
      <c r="C191" s="34" t="n">
        <v>70</v>
      </c>
      <c r="D191" s="32" t="inlineStr">
        <is>
          <t>Item master</t>
        </is>
      </c>
      <c r="E191" s="32" t="inlineStr"/>
      <c r="F191" s="32" t="inlineStr"/>
      <c r="G191" s="42" t="inlineStr">
        <is>
          <t>Juice, Flavored Drinks, Soda, Cereal, Canned Vegetables, Soup, Tuna, Shrimp</t>
        </is>
      </c>
    </row>
    <row r="192">
      <c r="A192" s="37" t="inlineStr">
        <is>
          <t>Tutorial creazione nuova app</t>
        </is>
      </c>
      <c r="B192" s="37" t="inlineStr">
        <is>
          <t>Product Type</t>
        </is>
      </c>
      <c r="C192" s="39" t="n">
        <v>31</v>
      </c>
      <c r="D192" s="37" t="inlineStr">
        <is>
          <t>Item master</t>
        </is>
      </c>
      <c r="E192" s="37" t="inlineStr"/>
      <c r="F192" s="37" t="inlineStr"/>
      <c r="G192" s="43" t="inlineStr">
        <is>
          <t>Pure Juice Beverages, Drinks, Carbonated Beverages, Breakfast Foods, Vegetables, Canned Soup, Canned Tuna, Canned Shrimp</t>
        </is>
      </c>
    </row>
    <row r="193">
      <c r="A193" s="32" t="inlineStr">
        <is>
          <t>Tutorial creazione nuova app</t>
        </is>
      </c>
      <c r="B193" s="32" t="inlineStr">
        <is>
          <t>City</t>
        </is>
      </c>
      <c r="C193" s="34" t="n">
        <v>100</v>
      </c>
      <c r="D193" s="32" t="inlineStr">
        <is>
          <t>Cities</t>
        </is>
      </c>
      <c r="E193" s="32" t="inlineStr"/>
      <c r="F193" s="32" t="inlineStr"/>
      <c r="G193" s="42" t="inlineStr">
        <is>
          <t>New York, Los Angeles, Chicago, Houston, Philadelphia, Phoenix, San Antonio, San Diego</t>
        </is>
      </c>
    </row>
    <row r="194">
      <c r="A194" s="37" t="inlineStr">
        <is>
          <t>Tutorial creazione nuova app</t>
        </is>
      </c>
      <c r="B194" s="37" t="inlineStr">
        <is>
          <t>City Code</t>
        </is>
      </c>
      <c r="C194" s="39" t="n">
        <v>100</v>
      </c>
      <c r="D194" s="37" t="inlineStr">
        <is>
          <t>Cities, Customer</t>
        </is>
      </c>
      <c r="E194" s="37" t="inlineStr"/>
      <c r="F194" s="37" t="inlineStr"/>
      <c r="G194" s="43" t="inlineStr">
        <is>
          <t>1, 2, 3, 4, 5, 6, 7, 8</t>
        </is>
      </c>
    </row>
    <row r="195">
      <c r="A195" s="32" t="inlineStr">
        <is>
          <t>Tutorial creazione nuova app</t>
        </is>
      </c>
      <c r="B195" s="32" t="inlineStr">
        <is>
          <t>Region</t>
        </is>
      </c>
      <c r="C195" s="34" t="n">
        <v>6</v>
      </c>
      <c r="D195" s="32" t="inlineStr">
        <is>
          <t>Cities</t>
        </is>
      </c>
      <c r="E195" s="32" t="inlineStr"/>
      <c r="F195" s="32" t="inlineStr"/>
      <c r="G195" s="42" t="inlineStr">
        <is>
          <t>USA, UK, Nordic, Spain, Germany, Japan</t>
        </is>
      </c>
    </row>
    <row r="196">
      <c r="A196" s="37" t="inlineStr">
        <is>
          <t>Tutorial creazione nuova app</t>
        </is>
      </c>
      <c r="B196" s="37" t="inlineStr">
        <is>
          <t>Latitude</t>
        </is>
      </c>
      <c r="C196" s="39" t="n">
        <v>100</v>
      </c>
      <c r="D196" s="37" t="inlineStr">
        <is>
          <t>Cities</t>
        </is>
      </c>
      <c r="E196" s="37" t="inlineStr"/>
      <c r="F196" s="37" t="inlineStr"/>
      <c r="G196" s="43" t="inlineStr">
        <is>
          <t>40.730599, 34.053678, 41.875555, 29.981501, 39.952335, 33.446768, 29.4246, 32.717421</t>
        </is>
      </c>
    </row>
    <row r="197">
      <c r="A197" s="32" t="inlineStr">
        <is>
          <t>Tutorial creazione nuova app</t>
        </is>
      </c>
      <c r="B197" s="32" t="inlineStr">
        <is>
          <t>Longitude</t>
        </is>
      </c>
      <c r="C197" s="34" t="n">
        <v>100</v>
      </c>
      <c r="D197" s="32" t="inlineStr">
        <is>
          <t>Cities</t>
        </is>
      </c>
      <c r="E197" s="32" t="inlineStr"/>
      <c r="F197" s="32" t="inlineStr"/>
      <c r="G197" s="42" t="inlineStr">
        <is>
          <t>-73.986581, -118.242702, -87.624421, -95.53836, -75.163789, -112.075672, -98.49514, -117.162771</t>
        </is>
      </c>
    </row>
    <row r="198">
      <c r="A198" s="37" t="inlineStr">
        <is>
          <t>Tutorial creazione nuova app</t>
        </is>
      </c>
      <c r="B198" s="37" t="inlineStr">
        <is>
          <t>Desc</t>
        </is>
      </c>
      <c r="C198" s="39" t="n">
        <v>98</v>
      </c>
      <c r="D198" s="37" t="inlineStr">
        <is>
          <t>Cities</t>
        </is>
      </c>
      <c r="E198" s="37" t="inlineStr"/>
      <c r="F198" s="37" t="inlineStr"/>
      <c r="G198" s="43" t="inlineStr">
        <is>
          <t>New York City, NY, US, Los Angeles, Los Angeles County, CA, US, Chicago, Cook County, IL, US, Houston, Harris County, TX, US, Philadelphia, Philadelphia County, PA, US, Phoenix, Maricopa County, AZ, US, San Antonio, Bexar County, TX, US, San Diego, San Diego County, CA, US</t>
        </is>
      </c>
    </row>
    <row r="199">
      <c r="A199" s="32" t="inlineStr">
        <is>
          <t>Tutorial creazione nuova app</t>
        </is>
      </c>
      <c r="B199" s="32" t="inlineStr">
        <is>
          <t>Location</t>
        </is>
      </c>
      <c r="C199" s="34" t="n">
        <v>100</v>
      </c>
      <c r="D199" s="32" t="inlineStr">
        <is>
          <t>Cities</t>
        </is>
      </c>
      <c r="E199" s="32" t="inlineStr"/>
      <c r="F199" s="32" t="inlineStr"/>
      <c r="G199" s="42" t="inlineStr">
        <is>
          <t>[-73.986581000000001,40.730598999999998], [-118.24270199999999,34.053677999999998], [-87.624420999999998,41.875554999999999], [-95.538359999999997,29.981501000000002], [-75.163788999999994,39.952334999999998], [-112.075672,33.446767999999999], [-98.495140000000006,29.424600000000002], [-117.16277100000001,32.717421000000002]</t>
        </is>
      </c>
    </row>
    <row r="200">
      <c r="A200" s="37" t="inlineStr">
        <is>
          <t>Tutorial creazione nuova app</t>
        </is>
      </c>
      <c r="B200" s="37" t="inlineStr">
        <is>
          <t>Manager</t>
        </is>
      </c>
      <c r="C200" s="39" t="n">
        <v>18</v>
      </c>
      <c r="D200" s="37" t="inlineStr">
        <is>
          <t>Sales rep</t>
        </is>
      </c>
      <c r="E200" s="37" t="inlineStr"/>
      <c r="F200" s="37" t="inlineStr"/>
      <c r="G200" s="43" t="inlineStr">
        <is>
          <t>Amanda Honda, Brenda Gibson, Carolyn Halmon, David Laychak, Dennis Johnson, John Davis, John Greg, Kathy Clinton</t>
        </is>
      </c>
    </row>
    <row r="201">
      <c r="A201" s="32" t="inlineStr">
        <is>
          <t>Tutorial creazione nuova app</t>
        </is>
      </c>
      <c r="B201" s="32" t="inlineStr">
        <is>
          <t>Manager Number</t>
        </is>
      </c>
      <c r="C201" s="34" t="n">
        <v>18</v>
      </c>
      <c r="D201" s="32" t="inlineStr">
        <is>
          <t>Sales rep</t>
        </is>
      </c>
      <c r="E201" s="32" t="inlineStr"/>
      <c r="F201" s="32" t="inlineStr"/>
      <c r="G201" s="42" t="inlineStr">
        <is>
          <t>104, 109, 111, 118, 121, 132, 134, 144</t>
        </is>
      </c>
    </row>
    <row r="202">
      <c r="A202" s="37" t="inlineStr">
        <is>
          <t>Tutorial creazione nuova app</t>
        </is>
      </c>
      <c r="B202" s="37" t="inlineStr">
        <is>
          <t>Path</t>
        </is>
      </c>
      <c r="C202" s="39" t="n">
        <v>64</v>
      </c>
      <c r="D202" s="37" t="inlineStr">
        <is>
          <t>Sales rep</t>
        </is>
      </c>
      <c r="E202" s="37" t="inlineStr"/>
      <c r="F202" s="37" t="inlineStr"/>
      <c r="G202" s="43" t="inlineStr">
        <is>
          <t>Amanda Honda-Amalia Craig, Amanda Honda-Cart Lynch, Amanda Honda-Molly McKenzie, Amanda Honda-Sheila Hein, Brenda Gibson-Dennis Johnson, Brenda Gibson-Ken Roberts, Brenda Gibson-Robert Kim, Brenda Gibson-William Fisher</t>
        </is>
      </c>
    </row>
    <row r="203">
      <c r="A203" s="32" t="inlineStr">
        <is>
          <t>Tutorial creazione nuova app</t>
        </is>
      </c>
      <c r="B203" s="32" t="inlineStr">
        <is>
          <t>Sales Rep Name</t>
        </is>
      </c>
      <c r="C203" s="34" t="n">
        <v>63</v>
      </c>
      <c r="D203" s="32" t="inlineStr">
        <is>
          <t>Sales rep</t>
        </is>
      </c>
      <c r="E203" s="32" t="inlineStr"/>
      <c r="F203" s="32" t="inlineStr"/>
      <c r="G203" s="42" t="inlineStr">
        <is>
          <t>Amalia Craig, Cart Lynch, Molly McKenzie, Sheila Hein, Dennis Johnson, Ken Roberts, Robert Kim, William Fisher</t>
        </is>
      </c>
    </row>
    <row r="204">
      <c r="A204" s="37" t="inlineStr">
        <is>
          <t>Tutorial creazione nuova app</t>
        </is>
      </c>
      <c r="B204" s="37" t="inlineStr">
        <is>
          <t>Sales Rep Name1</t>
        </is>
      </c>
      <c r="C204" s="39" t="n">
        <v>5</v>
      </c>
      <c r="D204" s="37" t="inlineStr">
        <is>
          <t>Sales rep</t>
        </is>
      </c>
      <c r="E204" s="37" t="inlineStr"/>
      <c r="F204" s="37" t="inlineStr"/>
      <c r="G204" s="43" t="inlineStr">
        <is>
          <t>Amanda Honda, Brenda Gibson, Stewart Wind, John Greg, Samantha Allen</t>
        </is>
      </c>
    </row>
    <row r="205">
      <c r="A205" s="32" t="inlineStr">
        <is>
          <t>Tutorial creazione nuova app</t>
        </is>
      </c>
      <c r="B205" s="32" t="inlineStr">
        <is>
          <t>Sales Rep Name2</t>
        </is>
      </c>
      <c r="C205" s="34" t="n">
        <v>21</v>
      </c>
      <c r="D205" s="32" t="inlineStr">
        <is>
          <t>Sales rep</t>
        </is>
      </c>
      <c r="E205" s="32" t="inlineStr"/>
      <c r="F205" s="32" t="inlineStr"/>
      <c r="G205" s="42" t="inlineStr">
        <is>
          <t>Amalia Craig, Cart Lynch, Molly McKenzie, Sheila Hein, Dennis Johnson, Ken Roberts, Robert Kim, William Fisher</t>
        </is>
      </c>
    </row>
    <row r="206">
      <c r="A206" s="37" t="inlineStr">
        <is>
          <t>Tutorial creazione nuova app</t>
        </is>
      </c>
      <c r="B206" s="37" t="inlineStr">
        <is>
          <t>Sales Rep Name3</t>
        </is>
      </c>
      <c r="C206" s="39" t="n">
        <v>39</v>
      </c>
      <c r="D206" s="37" t="inlineStr">
        <is>
          <t>Sales rep</t>
        </is>
      </c>
      <c r="E206" s="37" t="inlineStr"/>
      <c r="F206" s="37" t="inlineStr"/>
      <c r="G206" s="43" t="inlineStr">
        <is>
          <t>Cary Frank, Edward Smith, Lee Chin, Ronald Milam, Amelia Fields, Deborah Halmon, Judy Rowlett</t>
        </is>
      </c>
    </row>
    <row r="207">
      <c r="A207" s="32" t="inlineStr">
        <is>
          <t>Tutorial creazione nuova app</t>
        </is>
      </c>
      <c r="B207" s="32" t="inlineStr">
        <is>
          <t>Customer</t>
        </is>
      </c>
      <c r="C207" s="34" t="n">
        <v>684</v>
      </c>
      <c r="D207" s="32" t="inlineStr">
        <is>
          <t>Customer</t>
        </is>
      </c>
      <c r="E207" s="32" t="inlineStr"/>
      <c r="F207" s="32" t="inlineStr"/>
      <c r="G207" s="42" t="inlineStr">
        <is>
          <t>A Superior System, A&amp;B, A&amp;G, A&amp;R Partners, A1 Datacom Supply, a2i, A2Z Solutions, A-2-Z Solutions</t>
        </is>
      </c>
    </row>
    <row r="208">
      <c r="A208" s="37" t="inlineStr">
        <is>
          <t>Tutorial creazione nuova app</t>
        </is>
      </c>
      <c r="B208" s="37" t="inlineStr">
        <is>
          <t>Week</t>
        </is>
      </c>
      <c r="C208" s="39" t="n">
        <v>52</v>
      </c>
      <c r="D208" s="37" t="inlineStr">
        <is>
          <t>MasterCalendar</t>
        </is>
      </c>
      <c r="E208" s="37" t="inlineStr"/>
      <c r="F208" s="37" t="inlineStr">
        <is>
          <t>###0</t>
        </is>
      </c>
      <c r="G208" s="43" t="inlineStr">
        <is>
          <t>2, 3, 4, 5, 6, 7, 8, 9</t>
        </is>
      </c>
    </row>
    <row r="209">
      <c r="A209" s="32" t="inlineStr">
        <is>
          <t>Tutorial creazione nuova app</t>
        </is>
      </c>
      <c r="B209" s="32" t="inlineStr">
        <is>
          <t>Year</t>
        </is>
      </c>
      <c r="C209" s="34" t="n">
        <v>3</v>
      </c>
      <c r="D209" s="32" t="inlineStr">
        <is>
          <t>MasterCalendar</t>
        </is>
      </c>
      <c r="E209" s="32" t="inlineStr"/>
      <c r="F209" s="32" t="inlineStr">
        <is>
          <t>###0</t>
        </is>
      </c>
      <c r="G209" s="42" t="inlineStr">
        <is>
          <t>2012, 2013, 2014</t>
        </is>
      </c>
    </row>
    <row r="210">
      <c r="A210" s="37" t="inlineStr">
        <is>
          <t>Tutorial creazione nuova app</t>
        </is>
      </c>
      <c r="B210" s="37" t="inlineStr">
        <is>
          <t>Month</t>
        </is>
      </c>
      <c r="C210" s="39" t="n">
        <v>12</v>
      </c>
      <c r="D210" s="37" t="inlineStr">
        <is>
          <t>MasterCalendar</t>
        </is>
      </c>
      <c r="E210" s="37" t="inlineStr"/>
      <c r="F210" s="37" t="inlineStr"/>
      <c r="G210" s="43" t="inlineStr">
        <is>
          <t>Jan, Feb, Mar, Apr, May, Jun, Jul, Aug</t>
        </is>
      </c>
    </row>
    <row r="211">
      <c r="A211" s="32" t="inlineStr">
        <is>
          <t>Tutorial creazione nuova app</t>
        </is>
      </c>
      <c r="B211" s="32" t="inlineStr">
        <is>
          <t>Day</t>
        </is>
      </c>
      <c r="C211" s="34" t="n">
        <v>31</v>
      </c>
      <c r="D211" s="32" t="inlineStr">
        <is>
          <t>MasterCalendar</t>
        </is>
      </c>
      <c r="E211" s="32" t="inlineStr"/>
      <c r="F211" s="32" t="inlineStr">
        <is>
          <t>###0</t>
        </is>
      </c>
      <c r="G211" s="42" t="inlineStr">
        <is>
          <t>12, 13, 14, 15, 16, 17, 18, 19</t>
        </is>
      </c>
    </row>
    <row r="212">
      <c r="A212" s="37" t="inlineStr">
        <is>
          <t>Tutorial creazione nuova app</t>
        </is>
      </c>
      <c r="B212" s="37" t="inlineStr">
        <is>
          <t>CYTDFlag</t>
        </is>
      </c>
      <c r="C212" s="39" t="n">
        <v>2</v>
      </c>
      <c r="D212" s="37" t="inlineStr">
        <is>
          <t>MasterCalendar</t>
        </is>
      </c>
      <c r="E212" s="37" t="inlineStr"/>
      <c r="F212" s="37" t="inlineStr"/>
      <c r="G212" s="43" t="inlineStr">
        <is>
          <t>0, 1</t>
        </is>
      </c>
    </row>
    <row r="213">
      <c r="A213" s="32" t="inlineStr">
        <is>
          <t>Tutorial creazione nuova app</t>
        </is>
      </c>
      <c r="B213" s="32" t="inlineStr">
        <is>
          <t>LYTDFlag</t>
        </is>
      </c>
      <c r="C213" s="34" t="n">
        <v>2</v>
      </c>
      <c r="D213" s="32" t="inlineStr">
        <is>
          <t>MasterCalendar</t>
        </is>
      </c>
      <c r="E213" s="32" t="inlineStr"/>
      <c r="F213" s="32" t="inlineStr"/>
      <c r="G213" s="42" t="inlineStr">
        <is>
          <t>0, 1</t>
        </is>
      </c>
    </row>
    <row r="214">
      <c r="A214" s="37" t="inlineStr">
        <is>
          <t>Tutorial creazione nuova app</t>
        </is>
      </c>
      <c r="B214" s="37" t="inlineStr">
        <is>
          <t>MonthYear</t>
        </is>
      </c>
      <c r="C214" s="39" t="n">
        <v>30</v>
      </c>
      <c r="D214" s="37" t="inlineStr">
        <is>
          <t>MasterCalendar</t>
        </is>
      </c>
      <c r="E214" s="37" t="inlineStr"/>
      <c r="F214" s="37" t="inlineStr"/>
      <c r="G214" s="43" t="inlineStr">
        <is>
          <t>40909, 40940, 40969, 41000, 41030, 41061, 41091, 41122</t>
        </is>
      </c>
    </row>
    <row r="215">
      <c r="A215" s="32" t="inlineStr">
        <is>
          <t>Tutorial creazione nuova app</t>
        </is>
      </c>
      <c r="B215" s="32" t="inlineStr">
        <is>
          <t>Quarter</t>
        </is>
      </c>
      <c r="C215" s="34" t="n">
        <v>4</v>
      </c>
      <c r="D215" s="32" t="inlineStr">
        <is>
          <t>MasterCalendar</t>
        </is>
      </c>
      <c r="E215" s="32" t="inlineStr"/>
      <c r="F215" s="32" t="inlineStr"/>
      <c r="G215" s="42" t="inlineStr">
        <is>
          <t>Q1, Q2, Q3, Q4</t>
        </is>
      </c>
    </row>
    <row r="216">
      <c r="A216" s="37" t="inlineStr">
        <is>
          <t>Tutorial creazione nuova app</t>
        </is>
      </c>
      <c r="B216" s="37" t="inlineStr">
        <is>
          <t>WeekYear</t>
        </is>
      </c>
      <c r="C216" s="39" t="n">
        <v>130</v>
      </c>
      <c r="D216" s="37" t="inlineStr">
        <is>
          <t>MasterCalendar</t>
        </is>
      </c>
      <c r="E216" s="37" t="inlineStr"/>
      <c r="F216" s="37" t="inlineStr"/>
      <c r="G216" s="43" t="inlineStr">
        <is>
          <t>2-2012, 3-2012, 4-2012, 5-2012, 6-2012, 7-2012, 8-2012, 9-2012</t>
        </is>
      </c>
    </row>
    <row r="217">
      <c r="A217" s="32" t="inlineStr">
        <is>
          <t>Tutorial creazione nuova app</t>
        </is>
      </c>
      <c r="B217" s="32" t="inlineStr">
        <is>
          <t>WeekDay</t>
        </is>
      </c>
      <c r="C217" s="34" t="n">
        <v>7</v>
      </c>
      <c r="D217" s="32" t="inlineStr">
        <is>
          <t>MasterCalendar</t>
        </is>
      </c>
      <c r="E217" s="32" t="inlineStr"/>
      <c r="F217" s="32" t="inlineStr"/>
      <c r="G217" s="42" t="inlineStr">
        <is>
          <t>Thu, Fri, Sat, Sun, Mon, Tue, Wed</t>
        </is>
      </c>
    </row>
    <row r="218">
      <c r="A218" s="37" t="inlineStr">
        <is>
          <t>Tutorial creazione script</t>
        </is>
      </c>
      <c r="B218" s="37" t="inlineStr">
        <is>
          <t>Alpha</t>
        </is>
      </c>
      <c r="C218" s="39" t="n">
        <v>26</v>
      </c>
      <c r="D218" s="37" t="inlineStr">
        <is>
          <t>Characters</t>
        </is>
      </c>
      <c r="E218" s="37" t="inlineStr"/>
      <c r="F218" s="37" t="inlineStr"/>
      <c r="G218" s="43" t="inlineStr">
        <is>
          <t>A, B, C, D, E, F, G, H</t>
        </is>
      </c>
    </row>
    <row r="219">
      <c r="A219" s="32" t="inlineStr">
        <is>
          <t>Tutorial creazione script</t>
        </is>
      </c>
      <c r="B219" s="32" t="inlineStr">
        <is>
          <t>Num</t>
        </is>
      </c>
      <c r="C219" s="34" t="n">
        <v>26</v>
      </c>
      <c r="D219" s="32" t="inlineStr">
        <is>
          <t>Characters, ASCII, Transactions</t>
        </is>
      </c>
      <c r="E219" s="32" t="inlineStr"/>
      <c r="F219" s="32" t="inlineStr">
        <is>
          <t>###0</t>
        </is>
      </c>
      <c r="G219" s="42" t="inlineStr">
        <is>
          <t>1, 2, 3, 4, 5, 6, 7, 8</t>
        </is>
      </c>
    </row>
    <row r="220">
      <c r="A220" s="37" t="inlineStr">
        <is>
          <t>Tutorial creazione script</t>
        </is>
      </c>
      <c r="B220" s="37" t="inlineStr">
        <is>
          <t>AsciiAlpha</t>
        </is>
      </c>
      <c r="C220" s="39" t="n">
        <v>191</v>
      </c>
      <c r="D220" s="37" t="inlineStr">
        <is>
          <t>ASCII</t>
        </is>
      </c>
      <c r="E220" s="37" t="inlineStr"/>
      <c r="F220" s="37" t="inlineStr"/>
      <c r="G220" s="43" t="inlineStr">
        <is>
          <t xml:space="preserve"> , !, ", #, $, %, &amp;, '</t>
        </is>
      </c>
    </row>
    <row r="221">
      <c r="A221" s="32" t="inlineStr">
        <is>
          <t>Tutorial creazione script</t>
        </is>
      </c>
      <c r="B221" s="32" t="inlineStr">
        <is>
          <t>AsciiNum</t>
        </is>
      </c>
      <c r="C221" s="34" t="n">
        <v>191</v>
      </c>
      <c r="D221" s="32" t="inlineStr">
        <is>
          <t>ASCII</t>
        </is>
      </c>
      <c r="E221" s="32" t="inlineStr"/>
      <c r="F221" s="32" t="inlineStr">
        <is>
          <t>###0</t>
        </is>
      </c>
      <c r="G221" s="42" t="inlineStr">
        <is>
          <t>32, 33, 34, 35, 36, 37, 38, 39</t>
        </is>
      </c>
    </row>
    <row r="222">
      <c r="A222" s="37" t="inlineStr">
        <is>
          <t>Tutorial creazione script</t>
        </is>
      </c>
      <c r="B222" s="37" t="inlineStr">
        <is>
          <t>TransLineID</t>
        </is>
      </c>
      <c r="C222" s="39" t="n">
        <v>10</v>
      </c>
      <c r="D222" s="37" t="inlineStr">
        <is>
          <t>Transactions</t>
        </is>
      </c>
      <c r="E222" s="37" t="inlineStr"/>
      <c r="F222" s="37" t="inlineStr">
        <is>
          <t>###0</t>
        </is>
      </c>
      <c r="G222" s="43" t="inlineStr">
        <is>
          <t>1, 2, 3, 4, 5, 6, 7, 8</t>
        </is>
      </c>
    </row>
    <row r="223">
      <c r="A223" s="32" t="inlineStr">
        <is>
          <t>Tutorial creazione script</t>
        </is>
      </c>
      <c r="B223" s="32" t="inlineStr">
        <is>
          <t>TransID</t>
        </is>
      </c>
      <c r="C223" s="34" t="n">
        <v>1000</v>
      </c>
      <c r="D223" s="32" t="inlineStr">
        <is>
          <t>Transactions</t>
        </is>
      </c>
      <c r="E223" s="32" t="inlineStr"/>
      <c r="F223" s="32" t="inlineStr">
        <is>
          <t>###0</t>
        </is>
      </c>
      <c r="G223" s="42" t="inlineStr">
        <is>
          <t>1, 2, 3, 4, 5, 6, 7, 8</t>
        </is>
      </c>
    </row>
    <row r="224">
      <c r="A224" s="37" t="inlineStr">
        <is>
          <t>Tutorial creazione script</t>
        </is>
      </c>
      <c r="B224" s="37" t="inlineStr">
        <is>
          <t>Dim1</t>
        </is>
      </c>
      <c r="C224" s="39" t="n">
        <v>3</v>
      </c>
      <c r="D224" s="37" t="inlineStr">
        <is>
          <t>Transactions</t>
        </is>
      </c>
      <c r="E224" s="37" t="inlineStr"/>
      <c r="F224" s="37" t="inlineStr"/>
      <c r="G224" s="43" t="inlineStr">
        <is>
          <t>A, B, C</t>
        </is>
      </c>
    </row>
    <row r="225">
      <c r="A225" s="32" t="inlineStr">
        <is>
          <t>Tutorial creazione script</t>
        </is>
      </c>
      <c r="B225" s="32" t="inlineStr">
        <is>
          <t>Dim2</t>
        </is>
      </c>
      <c r="C225" s="34" t="n">
        <v>6</v>
      </c>
      <c r="D225" s="32" t="inlineStr">
        <is>
          <t>Transactions</t>
        </is>
      </c>
      <c r="E225" s="32" t="inlineStr"/>
      <c r="F225" s="32" t="inlineStr"/>
      <c r="G225" s="42" t="inlineStr">
        <is>
          <t>b, c, e, d, f, a</t>
        </is>
      </c>
    </row>
    <row r="226">
      <c r="A226" s="37" t="inlineStr">
        <is>
          <t>Tutorial creazione script</t>
        </is>
      </c>
      <c r="B226" s="37" t="inlineStr">
        <is>
          <t>Dim3</t>
        </is>
      </c>
      <c r="C226" s="39" t="n">
        <v>3</v>
      </c>
      <c r="D226" s="37" t="inlineStr">
        <is>
          <t>Transactions</t>
        </is>
      </c>
      <c r="E226" s="37" t="inlineStr"/>
      <c r="F226" s="37" t="inlineStr"/>
      <c r="G226" s="43" t="inlineStr">
        <is>
          <t>X, Z, Y</t>
        </is>
      </c>
    </row>
    <row r="227">
      <c r="A227" s="32" t="inlineStr">
        <is>
          <t>Tutorial creazione script</t>
        </is>
      </c>
      <c r="B227" s="32" t="inlineStr">
        <is>
          <t>Expression1</t>
        </is>
      </c>
      <c r="C227" s="34" t="n">
        <v>437</v>
      </c>
      <c r="D227" s="32" t="inlineStr">
        <is>
          <t>Transactions</t>
        </is>
      </c>
      <c r="E227" s="32" t="inlineStr"/>
      <c r="F227" s="32" t="inlineStr">
        <is>
          <t>###0</t>
        </is>
      </c>
      <c r="G227" s="42" t="inlineStr">
        <is>
          <t>115, 83, 275, 30, 108, 40, 370, 186</t>
        </is>
      </c>
    </row>
    <row r="228">
      <c r="A228" s="37" t="inlineStr">
        <is>
          <t>Tutorial creazione script</t>
        </is>
      </c>
      <c r="B228" s="37" t="inlineStr">
        <is>
          <t>Expression2</t>
        </is>
      </c>
      <c r="C228" s="39" t="n">
        <v>9</v>
      </c>
      <c r="D228" s="37" t="inlineStr">
        <is>
          <t>Transactions</t>
        </is>
      </c>
      <c r="E228" s="37" t="inlineStr"/>
      <c r="F228" s="37" t="inlineStr">
        <is>
          <t>###0</t>
        </is>
      </c>
      <c r="G228" s="43" t="inlineStr">
        <is>
          <t>0, 2, 1, 7, 5, 3, 6, 4</t>
        </is>
      </c>
    </row>
    <row r="229">
      <c r="A229" s="32" t="inlineStr">
        <is>
          <t>Tutorial creazione script</t>
        </is>
      </c>
      <c r="B229" s="32" t="inlineStr">
        <is>
          <t>Expression3</t>
        </is>
      </c>
      <c r="C229" s="34" t="n">
        <v>1966</v>
      </c>
      <c r="D229" s="32" t="inlineStr">
        <is>
          <t>Transactions</t>
        </is>
      </c>
      <c r="E229" s="32" t="inlineStr"/>
      <c r="F229" s="32" t="inlineStr">
        <is>
          <t>###0,00000</t>
        </is>
      </c>
      <c r="G229" s="42" t="inlineStr">
        <is>
          <t>0.22316000000000003, 0.06444000000000001, 0.67681, 0.20256000000000002, 0.4278, 0.22636, 0.29997, 0.20447</t>
        </is>
      </c>
    </row>
  </sheetData>
  <autoFilter ref="A6:G229"/>
  <mergeCells count="1">
    <mergeCell ref="C2:F3"/>
  </mergeCells>
  <pageMargins left="0.75" right="0.75" top="1" bottom="1" header="0.5" footer="0.5"/>
  <pageSetup orientation="landscape" fitToHeight="0" fitToWidth="1"/>
  <drawing xmlns:r="http://schemas.openxmlformats.org/officeDocument/2006/relationships" r:id="rId1"/>
</worksheet>
</file>

<file path=xl/worksheets/sheet16.xml><?xml version="1.0" encoding="utf-8"?>
<worksheet xmlns="http://schemas.openxmlformats.org/spreadsheetml/2006/main">
  <sheetPr>
    <tabColor rgb="002C4650"/>
    <outlinePr summaryBelow="1" summaryRight="1"/>
    <pageSetUpPr fitToPage="1"/>
  </sheetPr>
  <dimension ref="A2:F10"/>
  <sheetViews>
    <sheetView showGridLines="0" workbookViewId="0">
      <pane ySplit="6" topLeftCell="A7" activePane="bottomLeft" state="frozen"/>
      <selection pane="bottomLeft" activeCell="A1" sqref="A1"/>
    </sheetView>
  </sheetViews>
  <sheetFormatPr baseColWidth="8" defaultRowHeight="15"/>
  <cols>
    <col width="26" customWidth="1" min="1" max="1"/>
    <col width="14" customWidth="1" min="2" max="2"/>
    <col width="28" customWidth="1" min="3" max="3"/>
    <col width="36" customWidth="1" min="4" max="4"/>
    <col width="32" customWidth="1" min="5" max="5"/>
    <col width="80" customWidth="1" min="6" max="6"/>
  </cols>
  <sheetData>
    <row r="1" ht="24" customHeight="1"/>
    <row r="2" ht="24" customHeight="1">
      <c r="C2" s="1" t="inlineStr">
        <is>
          <t>Legacy objects  ·  QlikView sheet objects</t>
        </is>
      </c>
    </row>
    <row r="3" ht="20" customHeight="1"/>
    <row r="4" ht="10" customHeight="1"/>
    <row r="5" ht="18" customHeight="1">
      <c r="A5" s="29">
        <f>HYPERLINK("#'Discovery'!A1","«  Back to Discovery")</f>
        <v/>
      </c>
      <c r="B5" s="30" t="inlineStr">
        <is>
          <t>QlikView sheet objects (QlikView documents saved as .qvf): expressions and fields.</t>
        </is>
      </c>
    </row>
    <row r="6" ht="30" customHeight="1">
      <c r="A6" s="31" t="inlineStr">
        <is>
          <t>App</t>
        </is>
      </c>
      <c r="B6" s="31" t="inlineStr">
        <is>
          <t>Object ID</t>
        </is>
      </c>
      <c r="C6" s="31" t="inlineStr">
        <is>
          <t>Type</t>
        </is>
      </c>
      <c r="D6" s="31" t="inlineStr">
        <is>
          <t>Expressions</t>
        </is>
      </c>
      <c r="E6" s="31" t="inlineStr">
        <is>
          <t>Referenced fields</t>
        </is>
      </c>
      <c r="F6" s="31" t="inlineStr">
        <is>
          <t>Readable strings</t>
        </is>
      </c>
    </row>
    <row r="7">
      <c r="A7" s="32" t="inlineStr">
        <is>
          <t>First Qlikview Report</t>
        </is>
      </c>
      <c r="B7" s="32" t="inlineStr">
        <is>
          <t>CH01</t>
        </is>
      </c>
      <c r="C7" s="32" t="inlineStr">
        <is>
          <t>GraphProperties</t>
        </is>
      </c>
      <c r="D7" s="42" t="inlineStr">
        <is>
          <t>Sum(Quantity)</t>
        </is>
      </c>
      <c r="E7" s="32" t="inlineStr">
        <is>
          <t>Order_ID</t>
        </is>
      </c>
      <c r="F7" s="42" t="inlineStr">
        <is>
          <t>Tahoma | Tahoma | Sum(Quantity) | CH01 | Sum(Quantity) | 0.0, | Segment 1 | 0.5, | Segment 2 | Arial | Arial | Order_ID | Tahoma | Tahoma | Tahoma | Tahoma | Tahoma | Tahoma | Arial | Arial | Arial | Arial | Tahoma | Arial | Arial | Arial | 0.0, | Segment 1 | 0.5, | Segment 2 | Arial | 1000 | Arial | 0.3 | Order_ID | Sum(Quantity) | 0.0, | Segment 1 | 0.5, | Segment 2</t>
        </is>
      </c>
    </row>
    <row r="8">
      <c r="A8" s="37" t="inlineStr">
        <is>
          <t>First Qlikview Report</t>
        </is>
      </c>
      <c r="B8" s="37" t="inlineStr">
        <is>
          <t>LB01</t>
        </is>
      </c>
      <c r="C8" s="37" t="inlineStr">
        <is>
          <t>ListBoxProperties</t>
        </is>
      </c>
      <c r="D8" s="43" t="inlineStr"/>
      <c r="E8" s="37" t="inlineStr">
        <is>
          <t>Region_Key</t>
        </is>
      </c>
      <c r="F8" s="43" t="inlineStr">
        <is>
          <t>Tahoma | Tahoma | Region_Key | LB01 | Region_Key | Tahoma | Tahoma | Tahoma | Tahoma | Tahoma | Tahoma | Arial | Arial | Arial</t>
        </is>
      </c>
    </row>
    <row r="9">
      <c r="A9" s="32" t="inlineStr">
        <is>
          <t>First Qlikview Report</t>
        </is>
      </c>
      <c r="B9" s="32" t="inlineStr">
        <is>
          <t>CS01</t>
        </is>
      </c>
      <c r="C9" s="32" t="inlineStr">
        <is>
          <t>CurrentSelectionProperties</t>
        </is>
      </c>
      <c r="D9" s="42" t="inlineStr"/>
      <c r="E9" s="32" t="inlineStr"/>
      <c r="F9" s="42" t="inlineStr">
        <is>
          <t>Tahoma | Tahoma | Current Selections | CS01 | Fields | Values | Tahoma | Tahoma | Tahoma | Tahoma | Tahoma | Tahoma | Arial | Arial | Arial</t>
        </is>
      </c>
    </row>
    <row r="10">
      <c r="A10" s="37" t="inlineStr">
        <is>
          <t>First Qlikview Report</t>
        </is>
      </c>
      <c r="B10" s="37" t="inlineStr">
        <is>
          <t>SO01</t>
        </is>
      </c>
      <c r="C10" s="37" t="inlineStr">
        <is>
          <t>SearchObjectProperties</t>
        </is>
      </c>
      <c r="D10" s="43" t="inlineStr"/>
      <c r="E10" s="37" t="inlineStr"/>
      <c r="F10" s="43" t="inlineStr">
        <is>
          <t>Tahoma | Tahoma | SO01 | Arial | Arial | Arial | Arial | Arial | Arial | Arial | Arial | Arial | Search</t>
        </is>
      </c>
    </row>
  </sheetData>
  <autoFilter ref="A6:F10"/>
  <mergeCells count="1">
    <mergeCell ref="C2:E3"/>
  </mergeCells>
  <pageMargins left="0.75" right="0.75" top="1" bottom="1" header="0.5" footer="0.5"/>
  <pageSetup orientation="landscape" fitToHeight="0" fitToWidth="1"/>
  <drawing xmlns:r="http://schemas.openxmlformats.org/officeDocument/2006/relationships" r:id="rId1"/>
</worksheet>
</file>

<file path=xl/worksheets/sheet17.xml><?xml version="1.0" encoding="utf-8"?>
<worksheet xmlns="http://schemas.openxmlformats.org/spreadsheetml/2006/main">
  <sheetPr>
    <tabColor rgb="002C4650"/>
    <outlinePr summaryBelow="1" summaryRight="1"/>
    <pageSetUpPr fitToPage="1"/>
  </sheetPr>
  <dimension ref="A2:F34"/>
  <sheetViews>
    <sheetView showGridLines="0" workbookViewId="0">
      <pane ySplit="6" topLeftCell="A7" activePane="bottomLeft" state="frozen"/>
      <selection pane="bottomLeft" activeCell="A1" sqref="A1"/>
    </sheetView>
  </sheetViews>
  <sheetFormatPr baseColWidth="8" defaultRowHeight="15"/>
  <cols>
    <col width="26" customWidth="1" min="1" max="1"/>
    <col width="26" customWidth="1" min="2" max="2"/>
    <col width="18" customWidth="1" min="3" max="3"/>
    <col width="14" customWidth="1" min="4" max="4"/>
    <col width="18" customWidth="1" min="5" max="5"/>
    <col width="13" customWidth="1" min="6" max="6"/>
    <col width="13" customWidth="1" min="7" max="7"/>
    <col width="13" customWidth="1" min="8" max="8"/>
    <col width="13" customWidth="1" min="9" max="9"/>
    <col width="13" customWidth="1" min="10" max="10"/>
  </cols>
  <sheetData>
    <row r="1" ht="24" customHeight="1"/>
    <row r="2" ht="24" customHeight="1">
      <c r="C2" s="1" t="inlineStr">
        <is>
          <t>Expression functions  ·  Qlik functions to translate</t>
        </is>
      </c>
    </row>
    <row r="3" ht="20" customHeight="1"/>
    <row r="4" ht="10" customHeight="1"/>
    <row r="5" ht="18" customHeight="1">
      <c r="A5" s="29">
        <f>HYPERLINK("#'Discovery'!A1","«  Back to Discovery")</f>
        <v/>
      </c>
      <c r="B5" s="30" t="inlineStr">
        <is>
          <t>Qlik functions used in master measures, variables and chart measures, per app.</t>
        </is>
      </c>
    </row>
    <row r="6" ht="30" customHeight="1">
      <c r="A6" s="31" t="inlineStr">
        <is>
          <t>App</t>
        </is>
      </c>
      <c r="B6" s="31" t="inlineStr">
        <is>
          <t>Function</t>
        </is>
      </c>
      <c r="C6" s="31" t="inlineStr">
        <is>
          <t>In master measures</t>
        </is>
      </c>
      <c r="D6" s="31" t="inlineStr">
        <is>
          <t>In variables</t>
        </is>
      </c>
      <c r="E6" s="31" t="inlineStr">
        <is>
          <t>In chart measures</t>
        </is>
      </c>
    </row>
    <row r="7">
      <c r="A7" s="32" t="inlineStr">
        <is>
          <t>Executive Dashboard</t>
        </is>
      </c>
      <c r="B7" s="32" t="inlineStr">
        <is>
          <t>Sum</t>
        </is>
      </c>
      <c r="C7" s="34" t="n">
        <v>46</v>
      </c>
      <c r="D7" s="34" t="n">
        <v>1</v>
      </c>
      <c r="E7" s="34" t="n">
        <v>0</v>
      </c>
    </row>
    <row r="8">
      <c r="A8" s="37" t="inlineStr">
        <is>
          <t>Executive Dashboard</t>
        </is>
      </c>
      <c r="B8" s="37" t="inlineStr">
        <is>
          <t>If</t>
        </is>
      </c>
      <c r="C8" s="39" t="n">
        <v>4</v>
      </c>
      <c r="D8" s="39" t="n">
        <v>1</v>
      </c>
      <c r="E8" s="39" t="n">
        <v>0</v>
      </c>
    </row>
    <row r="9">
      <c r="A9" s="32" t="inlineStr">
        <is>
          <t>Executive Dashboard</t>
        </is>
      </c>
      <c r="B9" s="32" t="inlineStr">
        <is>
          <t>count</t>
        </is>
      </c>
      <c r="C9" s="34" t="n">
        <v>5</v>
      </c>
      <c r="D9" s="34" t="n">
        <v>0</v>
      </c>
      <c r="E9" s="34" t="n">
        <v>0</v>
      </c>
    </row>
    <row r="10">
      <c r="A10" s="37" t="inlineStr">
        <is>
          <t>Executive Dashboard</t>
        </is>
      </c>
      <c r="B10" s="37" t="inlineStr">
        <is>
          <t>max</t>
        </is>
      </c>
      <c r="C10" s="39" t="n">
        <v>2</v>
      </c>
      <c r="D10" s="39" t="n">
        <v>2</v>
      </c>
      <c r="E10" s="39" t="n">
        <v>0</v>
      </c>
    </row>
    <row r="11">
      <c r="A11" s="32" t="inlineStr">
        <is>
          <t>Executive Dashboard</t>
        </is>
      </c>
      <c r="B11" s="32" t="inlineStr">
        <is>
          <t>GetSelectedCount</t>
        </is>
      </c>
      <c r="C11" s="34" t="n">
        <v>2</v>
      </c>
      <c r="D11" s="34" t="n">
        <v>1</v>
      </c>
      <c r="E11" s="34" t="n">
        <v>0</v>
      </c>
    </row>
    <row r="12">
      <c r="A12" s="37" t="inlineStr">
        <is>
          <t>Executive Dashboard</t>
        </is>
      </c>
      <c r="B12" s="37" t="inlineStr">
        <is>
          <t>Concat</t>
        </is>
      </c>
      <c r="C12" s="39" t="n">
        <v>0</v>
      </c>
      <c r="D12" s="39" t="n">
        <v>2</v>
      </c>
      <c r="E12" s="39" t="n">
        <v>0</v>
      </c>
    </row>
    <row r="13">
      <c r="A13" s="32" t="inlineStr">
        <is>
          <t>Executive Dashboard</t>
        </is>
      </c>
      <c r="B13" s="32" t="inlineStr">
        <is>
          <t>E</t>
        </is>
      </c>
      <c r="C13" s="34" t="n">
        <v>1</v>
      </c>
      <c r="D13" s="34" t="n">
        <v>0</v>
      </c>
      <c r="E13" s="34" t="n">
        <v>0</v>
      </c>
    </row>
    <row r="14">
      <c r="A14" s="37" t="inlineStr">
        <is>
          <t>Executive Dashboard</t>
        </is>
      </c>
      <c r="B14" s="37" t="inlineStr">
        <is>
          <t>Minstring</t>
        </is>
      </c>
      <c r="C14" s="39" t="n">
        <v>0</v>
      </c>
      <c r="D14" s="39" t="n">
        <v>1</v>
      </c>
      <c r="E14" s="39" t="n">
        <v>0</v>
      </c>
    </row>
    <row r="15">
      <c r="A15" s="32" t="inlineStr">
        <is>
          <t>Executive Dashboard</t>
        </is>
      </c>
      <c r="B15" s="32" t="inlineStr">
        <is>
          <t>Month</t>
        </is>
      </c>
      <c r="C15" s="34" t="n">
        <v>0</v>
      </c>
      <c r="D15" s="34" t="n">
        <v>1</v>
      </c>
      <c r="E15" s="34" t="n">
        <v>0</v>
      </c>
    </row>
    <row r="16">
      <c r="A16" s="37" t="inlineStr">
        <is>
          <t>Helpdesk Management</t>
        </is>
      </c>
      <c r="B16" s="37" t="inlineStr">
        <is>
          <t>Count</t>
        </is>
      </c>
      <c r="C16" s="39" t="n">
        <v>12</v>
      </c>
      <c r="D16" s="39" t="n">
        <v>0</v>
      </c>
      <c r="E16" s="39" t="n">
        <v>3</v>
      </c>
    </row>
    <row r="17">
      <c r="A17" s="32" t="inlineStr">
        <is>
          <t>Helpdesk Management</t>
        </is>
      </c>
      <c r="B17" s="32" t="inlineStr">
        <is>
          <t>Avg</t>
        </is>
      </c>
      <c r="C17" s="34" t="n">
        <v>3</v>
      </c>
      <c r="D17" s="34" t="n">
        <v>0</v>
      </c>
      <c r="E17" s="34" t="n">
        <v>0</v>
      </c>
    </row>
    <row r="18">
      <c r="A18" s="37" t="inlineStr">
        <is>
          <t>Helpdesk Management</t>
        </is>
      </c>
      <c r="B18" s="37" t="inlineStr">
        <is>
          <t>floor</t>
        </is>
      </c>
      <c r="C18" s="39" t="n">
        <v>3</v>
      </c>
      <c r="D18" s="39" t="n">
        <v>0</v>
      </c>
      <c r="E18" s="39" t="n">
        <v>0</v>
      </c>
    </row>
    <row r="19">
      <c r="A19" s="32" t="inlineStr">
        <is>
          <t>Helpdesk Management</t>
        </is>
      </c>
      <c r="B19" s="32" t="inlineStr">
        <is>
          <t>Sum</t>
        </is>
      </c>
      <c r="C19" s="34" t="n">
        <v>2</v>
      </c>
      <c r="D19" s="34" t="n">
        <v>0</v>
      </c>
      <c r="E19" s="34" t="n">
        <v>0</v>
      </c>
    </row>
    <row r="20">
      <c r="A20" s="37" t="inlineStr">
        <is>
          <t>Helpdesk Management</t>
        </is>
      </c>
      <c r="B20" s="37" t="inlineStr">
        <is>
          <t>If</t>
        </is>
      </c>
      <c r="C20" s="39" t="n">
        <v>2</v>
      </c>
      <c r="D20" s="39" t="n">
        <v>0</v>
      </c>
      <c r="E20" s="39" t="n">
        <v>0</v>
      </c>
    </row>
    <row r="21">
      <c r="A21" s="32" t="inlineStr">
        <is>
          <t>Helpdesk Management</t>
        </is>
      </c>
      <c r="B21" s="32" t="inlineStr">
        <is>
          <t>MinString</t>
        </is>
      </c>
      <c r="C21" s="34" t="n">
        <v>1</v>
      </c>
      <c r="D21" s="34" t="n">
        <v>1</v>
      </c>
      <c r="E21" s="34" t="n">
        <v>0</v>
      </c>
    </row>
    <row r="22">
      <c r="A22" s="37" t="inlineStr">
        <is>
          <t>Helpdesk Management</t>
        </is>
      </c>
      <c r="B22" s="37" t="inlineStr">
        <is>
          <t>dual</t>
        </is>
      </c>
      <c r="C22" s="39" t="n">
        <v>1</v>
      </c>
      <c r="D22" s="39" t="n">
        <v>0</v>
      </c>
      <c r="E22" s="39" t="n">
        <v>0</v>
      </c>
    </row>
    <row r="23">
      <c r="A23" s="32" t="inlineStr">
        <is>
          <t>Helpdesk Management</t>
        </is>
      </c>
      <c r="B23" s="32" t="inlineStr">
        <is>
          <t>Num</t>
        </is>
      </c>
      <c r="C23" s="34" t="n">
        <v>1</v>
      </c>
      <c r="D23" s="34" t="n">
        <v>0</v>
      </c>
      <c r="E23" s="34" t="n">
        <v>0</v>
      </c>
    </row>
    <row r="24">
      <c r="A24" s="37" t="inlineStr">
        <is>
          <t>Helpdesk Management</t>
        </is>
      </c>
      <c r="B24" s="37" t="inlineStr">
        <is>
          <t>firstsortedvalue</t>
        </is>
      </c>
      <c r="C24" s="39" t="n">
        <v>1</v>
      </c>
      <c r="D24" s="39" t="n">
        <v>0</v>
      </c>
      <c r="E24" s="39" t="n">
        <v>0</v>
      </c>
    </row>
    <row r="25">
      <c r="A25" s="32" t="inlineStr">
        <is>
          <t>Helpdesk Management</t>
        </is>
      </c>
      <c r="B25" s="32" t="inlineStr">
        <is>
          <t>Aggr</t>
        </is>
      </c>
      <c r="C25" s="34" t="n">
        <v>1</v>
      </c>
      <c r="D25" s="34" t="n">
        <v>0</v>
      </c>
      <c r="E25" s="34" t="n">
        <v>0</v>
      </c>
    </row>
    <row r="26">
      <c r="A26" s="37" t="inlineStr">
        <is>
          <t>Helpdesk Management</t>
        </is>
      </c>
      <c r="B26" s="37" t="inlineStr">
        <is>
          <t>maxstring</t>
        </is>
      </c>
      <c r="C26" s="39" t="n">
        <v>0</v>
      </c>
      <c r="D26" s="39" t="n">
        <v>1</v>
      </c>
      <c r="E26" s="39" t="n">
        <v>0</v>
      </c>
    </row>
    <row r="27">
      <c r="A27" s="32" t="inlineStr">
        <is>
          <t>Sales Analysis</t>
        </is>
      </c>
      <c r="B27" s="32" t="inlineStr">
        <is>
          <t>Num</t>
        </is>
      </c>
      <c r="C27" s="34" t="n">
        <v>0</v>
      </c>
      <c r="D27" s="34" t="n">
        <v>1</v>
      </c>
      <c r="E27" s="34" t="n">
        <v>0</v>
      </c>
    </row>
    <row r="28">
      <c r="A28" s="37" t="inlineStr">
        <is>
          <t>Sales Analysis</t>
        </is>
      </c>
      <c r="B28" s="37" t="inlineStr">
        <is>
          <t>Month</t>
        </is>
      </c>
      <c r="C28" s="39" t="n">
        <v>0</v>
      </c>
      <c r="D28" s="39" t="n">
        <v>1</v>
      </c>
      <c r="E28" s="39" t="n">
        <v>0</v>
      </c>
    </row>
    <row r="29">
      <c r="A29" s="32" t="inlineStr">
        <is>
          <t>Sales Analysis</t>
        </is>
      </c>
      <c r="B29" s="32" t="inlineStr">
        <is>
          <t>Today</t>
        </is>
      </c>
      <c r="C29" s="34" t="n">
        <v>0</v>
      </c>
      <c r="D29" s="34" t="n">
        <v>1</v>
      </c>
      <c r="E29" s="34" t="n">
        <v>0</v>
      </c>
    </row>
    <row r="30">
      <c r="A30" s="37" t="inlineStr">
        <is>
          <t>Sales Analysis</t>
        </is>
      </c>
      <c r="B30" s="37" t="inlineStr">
        <is>
          <t>Sum</t>
        </is>
      </c>
      <c r="C30" s="39" t="n">
        <v>0</v>
      </c>
      <c r="D30" s="39" t="n">
        <v>0</v>
      </c>
      <c r="E30" s="39" t="n">
        <v>1</v>
      </c>
    </row>
    <row r="31">
      <c r="A31" s="32" t="inlineStr">
        <is>
          <t>TryConfigColorAndAgrField</t>
        </is>
      </c>
      <c r="B31" s="32" t="inlineStr">
        <is>
          <t>Sum</t>
        </is>
      </c>
      <c r="C31" s="34" t="n">
        <v>0</v>
      </c>
      <c r="D31" s="34" t="n">
        <v>0</v>
      </c>
      <c r="E31" s="34" t="n">
        <v>1</v>
      </c>
    </row>
    <row r="32">
      <c r="A32" s="37" t="inlineStr">
        <is>
          <t>Tutorial creazione nuova app</t>
        </is>
      </c>
      <c r="B32" s="37" t="inlineStr">
        <is>
          <t>Sum</t>
        </is>
      </c>
      <c r="C32" s="39" t="n">
        <v>7</v>
      </c>
      <c r="D32" s="39" t="n">
        <v>0</v>
      </c>
      <c r="E32" s="39" t="n">
        <v>1</v>
      </c>
    </row>
    <row r="33">
      <c r="A33" s="32" t="inlineStr">
        <is>
          <t>Tutorial creazione nuova app</t>
        </is>
      </c>
      <c r="B33" s="32" t="inlineStr">
        <is>
          <t>Count</t>
        </is>
      </c>
      <c r="C33" s="34" t="n">
        <v>2</v>
      </c>
      <c r="D33" s="34" t="n">
        <v>0</v>
      </c>
      <c r="E33" s="34" t="n">
        <v>0</v>
      </c>
    </row>
    <row r="34">
      <c r="A34" s="37" t="inlineStr">
        <is>
          <t>Tutorial creazione nuova app</t>
        </is>
      </c>
      <c r="B34" s="37" t="inlineStr">
        <is>
          <t>Distinct</t>
        </is>
      </c>
      <c r="C34" s="39" t="n">
        <v>2</v>
      </c>
      <c r="D34" s="39" t="n">
        <v>0</v>
      </c>
      <c r="E34" s="39" t="n">
        <v>0</v>
      </c>
    </row>
  </sheetData>
  <autoFilter ref="A6:E34"/>
  <mergeCells count="1">
    <mergeCell ref="C2:F3"/>
  </mergeCells>
  <pageMargins left="0.75" right="0.75" top="1" bottom="1" header="0.5" footer="0.5"/>
  <pageSetup orientation="landscape" fitToHeight="0" fitToWidth="1"/>
  <drawing xmlns:r="http://schemas.openxmlformats.org/officeDocument/2006/relationships" r:id="rId1"/>
</worksheet>
</file>

<file path=xl/worksheets/sheet18.xml><?xml version="1.0" encoding="utf-8"?>
<worksheet xmlns="http://schemas.openxmlformats.org/spreadsheetml/2006/main">
  <sheetPr>
    <tabColor rgb="002C4650"/>
    <outlinePr summaryBelow="1" summaryRight="1"/>
    <pageSetUpPr fitToPage="1"/>
  </sheetPr>
  <dimension ref="A2:E16"/>
  <sheetViews>
    <sheetView showGridLines="0" workbookViewId="0">
      <pane ySplit="6" topLeftCell="A7" activePane="bottomLeft" state="frozen"/>
      <selection pane="bottomLeft" activeCell="A1" sqref="A1"/>
    </sheetView>
  </sheetViews>
  <sheetFormatPr baseColWidth="8" defaultRowHeight="15"/>
  <cols>
    <col width="26" customWidth="1" min="1" max="1"/>
    <col width="40" customWidth="1" min="2" max="2"/>
    <col width="8" customWidth="1" min="3" max="3"/>
    <col width="12" customWidth="1" min="4" max="4"/>
    <col width="40" customWidth="1" min="5" max="5"/>
    <col width="13" customWidth="1" min="6" max="6"/>
    <col width="13" customWidth="1" min="7" max="7"/>
    <col width="13" customWidth="1" min="8" max="8"/>
  </cols>
  <sheetData>
    <row r="1" ht="24" customHeight="1"/>
    <row r="2" ht="24" customHeight="1">
      <c r="C2" s="1" t="inlineStr">
        <is>
          <t>Media  ·  images bundled in the apps</t>
        </is>
      </c>
    </row>
    <row r="3" ht="20" customHeight="1"/>
    <row r="4" ht="10" customHeight="1"/>
    <row r="5" ht="18" customHeight="1">
      <c r="A5" s="29">
        <f>HYPERLINK("#'Discovery'!A1","«  Back to Discovery")</f>
        <v/>
      </c>
      <c r="B5" s="30" t="inlineStr">
        <is>
          <t>Images bundled in the apps.</t>
        </is>
      </c>
    </row>
    <row r="6" ht="30" customHeight="1">
      <c r="A6" s="31" t="inlineStr">
        <is>
          <t>App</t>
        </is>
      </c>
      <c r="B6" s="31" t="inlineStr">
        <is>
          <t>File</t>
        </is>
      </c>
      <c r="C6" s="31" t="inlineStr">
        <is>
          <t>Type</t>
        </is>
      </c>
      <c r="D6" s="31" t="inlineStr">
        <is>
          <t>Bytes</t>
        </is>
      </c>
      <c r="E6" s="31" t="inlineStr">
        <is>
          <t>Found in</t>
        </is>
      </c>
    </row>
    <row r="7">
      <c r="A7" s="32" t="inlineStr">
        <is>
          <t>Executive Dashboard</t>
        </is>
      </c>
      <c r="B7" s="32" t="inlineStr">
        <is>
          <t>images/image_0.jpg</t>
        </is>
      </c>
      <c r="C7" s="32" t="inlineStr">
        <is>
          <t>jpg</t>
        </is>
      </c>
      <c r="D7" s="34" t="n">
        <v>43098</v>
      </c>
      <c r="E7" s="32" t="inlineStr">
        <is>
          <t>qvapp_allproperties</t>
        </is>
      </c>
    </row>
    <row r="8">
      <c r="A8" s="37" t="inlineStr">
        <is>
          <t>Executive Dashboard</t>
        </is>
      </c>
      <c r="B8" s="37" t="inlineStr">
        <is>
          <t>images/image_1.jpg</t>
        </is>
      </c>
      <c r="C8" s="37" t="inlineStr">
        <is>
          <t>jpg</t>
        </is>
      </c>
      <c r="D8" s="39" t="n">
        <v>8434</v>
      </c>
      <c r="E8" s="37" t="inlineStr">
        <is>
          <t>media/79af67e9-ba38-4052-b153-3b72823c6224/storytelling-executivedash_1.jpg</t>
        </is>
      </c>
    </row>
    <row r="9">
      <c r="A9" s="32" t="inlineStr">
        <is>
          <t>Executive Dashboard</t>
        </is>
      </c>
      <c r="B9" s="32" t="inlineStr">
        <is>
          <t>media/executive-dashboard.jpg</t>
        </is>
      </c>
      <c r="C9" s="32" t="inlineStr">
        <is>
          <t>jpg</t>
        </is>
      </c>
      <c r="D9" s="34" t="n">
        <v>21779</v>
      </c>
      <c r="E9" s="32" t="inlineStr">
        <is>
          <t>media/29ea7d58-6537-413d-9e24-c554c8ad5e03/executive-dashboard.jpg</t>
        </is>
      </c>
    </row>
    <row r="10">
      <c r="A10" s="37" t="inlineStr">
        <is>
          <t>First Qlikview Report</t>
        </is>
      </c>
      <c r="B10" s="37" t="inlineStr">
        <is>
          <t>images/image_0.png</t>
        </is>
      </c>
      <c r="C10" s="37" t="inlineStr">
        <is>
          <t>png</t>
        </is>
      </c>
      <c r="D10" s="39" t="n">
        <v>4861</v>
      </c>
      <c r="E10" s="37" t="inlineStr">
        <is>
          <t>&lt;file&gt;</t>
        </is>
      </c>
    </row>
    <row r="11">
      <c r="A11" s="32" t="inlineStr">
        <is>
          <t>Helpdesk Management</t>
        </is>
      </c>
      <c r="B11" s="32" t="inlineStr">
        <is>
          <t>images/image_0.jpg</t>
        </is>
      </c>
      <c r="C11" s="32" t="inlineStr">
        <is>
          <t>jpg</t>
        </is>
      </c>
      <c r="D11" s="34" t="n">
        <v>57834</v>
      </c>
      <c r="E11" s="32" t="inlineStr">
        <is>
          <t>qvapp_allproperties</t>
        </is>
      </c>
    </row>
    <row r="12">
      <c r="A12" s="37" t="inlineStr">
        <is>
          <t>Helpdesk Management</t>
        </is>
      </c>
      <c r="B12" s="37" t="inlineStr">
        <is>
          <t>media/apppages-helpdeskmgmt_3.jpg</t>
        </is>
      </c>
      <c r="C12" s="37" t="inlineStr">
        <is>
          <t>jpg</t>
        </is>
      </c>
      <c r="D12" s="39" t="n">
        <v>7931</v>
      </c>
      <c r="E12" s="37" t="inlineStr">
        <is>
          <t>media/6de962a1-f681-4277-a7cc-a518ce395e42/apppages-helpdeskmgmt_3.jpg</t>
        </is>
      </c>
    </row>
    <row r="13">
      <c r="A13" s="32" t="inlineStr">
        <is>
          <t>Helpdesk Management</t>
        </is>
      </c>
      <c r="B13" s="32" t="inlineStr">
        <is>
          <t>media/apppages-helpdeskmgmt_2.jpg</t>
        </is>
      </c>
      <c r="C13" s="32" t="inlineStr">
        <is>
          <t>jpg</t>
        </is>
      </c>
      <c r="D13" s="34" t="n">
        <v>10017</v>
      </c>
      <c r="E13" s="32" t="inlineStr">
        <is>
          <t>media/088c2974-7782-4b3a-976d-634e1c6204f2/apppages-helpdeskmgmt_2.jpg</t>
        </is>
      </c>
    </row>
    <row r="14">
      <c r="A14" s="37" t="inlineStr">
        <is>
          <t>Helpdesk Management</t>
        </is>
      </c>
      <c r="B14" s="37" t="inlineStr">
        <is>
          <t>media/apppages-helpdeskmgmt_1.jpg</t>
        </is>
      </c>
      <c r="C14" s="37" t="inlineStr">
        <is>
          <t>jpg</t>
        </is>
      </c>
      <c r="D14" s="39" t="n">
        <v>10582</v>
      </c>
      <c r="E14" s="37" t="inlineStr">
        <is>
          <t>media/9a4a9a67-921a-4401-a6ef-adfc729022e0/apppages-helpdeskmgmt_1.jpg</t>
        </is>
      </c>
    </row>
    <row r="15">
      <c r="A15" s="32" t="inlineStr">
        <is>
          <t>Helpdesk Management</t>
        </is>
      </c>
      <c r="B15" s="32" t="inlineStr">
        <is>
          <t>media/storytelling-helpdeskmgmt_1.jpg</t>
        </is>
      </c>
      <c r="C15" s="32" t="inlineStr">
        <is>
          <t>jpg</t>
        </is>
      </c>
      <c r="D15" s="34" t="n">
        <v>6289</v>
      </c>
      <c r="E15" s="32" t="inlineStr">
        <is>
          <t>media/53e59818-bf3a-46e4-9d64-1a30377263c9/storytelling-helpdeskmgmt_1.jpg</t>
        </is>
      </c>
    </row>
    <row r="16">
      <c r="A16" s="37" t="inlineStr">
        <is>
          <t>Helpdesk Management</t>
        </is>
      </c>
      <c r="B16" s="37" t="inlineStr">
        <is>
          <t>media/helpdesk-management.jpg</t>
        </is>
      </c>
      <c r="C16" s="37" t="inlineStr">
        <is>
          <t>jpg</t>
        </is>
      </c>
      <c r="D16" s="39" t="n">
        <v>19692</v>
      </c>
      <c r="E16" s="37" t="inlineStr">
        <is>
          <t>media/3f44a200-4710-4c96-8ae5-8f735ddf5958/helpdesk-management.jpg</t>
        </is>
      </c>
    </row>
  </sheetData>
  <autoFilter ref="A6:E16"/>
  <mergeCells count="1">
    <mergeCell ref="C2:D3"/>
  </mergeCells>
  <pageMargins left="0.75" right="0.75" top="1" bottom="1" header="0.5" footer="0.5"/>
  <pageSetup orientation="landscape" fitToHeight="0" fitToWidth="1"/>
  <drawing xmlns:r="http://schemas.openxmlformats.org/officeDocument/2006/relationships" r:id="rId1"/>
</worksheet>
</file>

<file path=xl/worksheets/sheet19.xml><?xml version="1.0" encoding="utf-8"?>
<worksheet xmlns="http://schemas.openxmlformats.org/spreadsheetml/2006/main">
  <sheetPr>
    <tabColor rgb="002C4650"/>
    <outlinePr summaryBelow="1" summaryRight="1"/>
    <pageSetUpPr fitToPage="1"/>
  </sheetPr>
  <dimension ref="A2:F653"/>
  <sheetViews>
    <sheetView showGridLines="0" workbookViewId="0">
      <pane ySplit="6" topLeftCell="A7" activePane="bottomLeft" state="frozen"/>
      <selection pane="bottomLeft" activeCell="A1" sqref="A1"/>
    </sheetView>
  </sheetViews>
  <sheetFormatPr baseColWidth="8" defaultRowHeight="15"/>
  <cols>
    <col width="26" customWidth="1" min="1" max="1"/>
    <col width="44" customWidth="1" min="2" max="2"/>
    <col width="32" customWidth="1" min="3" max="3"/>
    <col width="10" customWidth="1" min="4" max="4"/>
    <col width="13" customWidth="1" min="5" max="5"/>
    <col width="20" customWidth="1" min="6" max="6"/>
    <col width="13" customWidth="1" min="7" max="7"/>
  </cols>
  <sheetData>
    <row r="1" ht="24" customHeight="1"/>
    <row r="2" ht="24" customHeight="1">
      <c r="C2" s="1" t="inlineStr">
        <is>
          <t>Stored objects  ·  everything inside the .qvf files</t>
        </is>
      </c>
    </row>
    <row r="3" ht="20" customHeight="1"/>
    <row r="4" ht="10" customHeight="1"/>
    <row r="5" ht="18" customHeight="1">
      <c r="A5" s="29">
        <f>HYPERLINK("#'Discovery'!A1","«  Back to Discovery")</f>
        <v/>
      </c>
      <c r="B5" s="30" t="inlineStr">
        <is>
          <t>Every entry inside every .qvf container.</t>
        </is>
      </c>
    </row>
    <row r="6" ht="30" customHeight="1">
      <c r="A6" s="31" t="inlineStr">
        <is>
          <t>App</t>
        </is>
      </c>
      <c r="B6" s="31" t="inlineStr">
        <is>
          <t>Path</t>
        </is>
      </c>
      <c r="C6" s="31" t="inlineStr">
        <is>
          <t>Type</t>
        </is>
      </c>
      <c r="D6" s="31" t="inlineStr">
        <is>
          <t>Format</t>
        </is>
      </c>
      <c r="E6" s="31" t="inlineStr">
        <is>
          <t>Stored bytes</t>
        </is>
      </c>
      <c r="F6" s="31" t="inlineStr">
        <is>
          <t>Modified</t>
        </is>
      </c>
    </row>
    <row r="7">
      <c r="A7" s="32" t="inlineStr">
        <is>
          <t>Executive Dashboard</t>
        </is>
      </c>
      <c r="B7" s="32" t="inlineStr">
        <is>
          <t>qvapp_header</t>
        </is>
      </c>
      <c r="C7" s="32" t="inlineStr">
        <is>
          <t>qvapp_header</t>
        </is>
      </c>
      <c r="D7" s="32" t="inlineStr"/>
      <c r="E7" s="34" t="n">
        <v>193</v>
      </c>
      <c r="F7" s="32" t="inlineStr">
        <is>
          <t>2015-05-21T15:35:59</t>
        </is>
      </c>
    </row>
    <row r="8">
      <c r="A8" s="37" t="inlineStr">
        <is>
          <t>Executive Dashboard</t>
        </is>
      </c>
      <c r="B8" s="37" t="inlineStr">
        <is>
          <t>data/field_4</t>
        </is>
      </c>
      <c r="C8" s="37" t="inlineStr">
        <is>
          <t>qvapp_cfield</t>
        </is>
      </c>
      <c r="D8" s="37" t="inlineStr"/>
      <c r="E8" s="39" t="n">
        <v>254</v>
      </c>
      <c r="F8" s="37" t="inlineStr">
        <is>
          <t>2015-05-01T18:24:24</t>
        </is>
      </c>
    </row>
    <row r="9">
      <c r="A9" s="32" t="inlineStr">
        <is>
          <t>Executive Dashboard</t>
        </is>
      </c>
      <c r="B9" s="32" t="inlineStr">
        <is>
          <t>data/field_3</t>
        </is>
      </c>
      <c r="C9" s="32" t="inlineStr">
        <is>
          <t>qvapp_cfield</t>
        </is>
      </c>
      <c r="D9" s="32" t="inlineStr"/>
      <c r="E9" s="34" t="n">
        <v>218</v>
      </c>
      <c r="F9" s="32" t="inlineStr">
        <is>
          <t>2015-05-01T18:24:24</t>
        </is>
      </c>
    </row>
    <row r="10">
      <c r="A10" s="37" t="inlineStr">
        <is>
          <t>Executive Dashboard</t>
        </is>
      </c>
      <c r="B10" s="37" t="inlineStr">
        <is>
          <t>data/field_32</t>
        </is>
      </c>
      <c r="C10" s="37" t="inlineStr">
        <is>
          <t>qvapp_cfield</t>
        </is>
      </c>
      <c r="D10" s="37" t="inlineStr"/>
      <c r="E10" s="39" t="n">
        <v>3155</v>
      </c>
      <c r="F10" s="37" t="inlineStr">
        <is>
          <t>2015-05-01T18:24:24</t>
        </is>
      </c>
    </row>
    <row r="11">
      <c r="A11" s="32" t="inlineStr">
        <is>
          <t>Executive Dashboard</t>
        </is>
      </c>
      <c r="B11" s="32" t="inlineStr">
        <is>
          <t>data/field_2</t>
        </is>
      </c>
      <c r="C11" s="32" t="inlineStr">
        <is>
          <t>qvapp_cfield</t>
        </is>
      </c>
      <c r="D11" s="32" t="inlineStr"/>
      <c r="E11" s="34" t="n">
        <v>290</v>
      </c>
      <c r="F11" s="32" t="inlineStr">
        <is>
          <t>2015-05-01T18:24:24</t>
        </is>
      </c>
    </row>
    <row r="12">
      <c r="A12" s="37" t="inlineStr">
        <is>
          <t>Executive Dashboard</t>
        </is>
      </c>
      <c r="B12" s="37" t="inlineStr">
        <is>
          <t>data/field_33</t>
        </is>
      </c>
      <c r="C12" s="37" t="inlineStr">
        <is>
          <t>qvapp_cfield</t>
        </is>
      </c>
      <c r="D12" s="37" t="inlineStr"/>
      <c r="E12" s="39" t="n">
        <v>40649</v>
      </c>
      <c r="F12" s="37" t="inlineStr">
        <is>
          <t>2015-05-01T18:24:24</t>
        </is>
      </c>
    </row>
    <row r="13">
      <c r="A13" s="32" t="inlineStr">
        <is>
          <t>Executive Dashboard</t>
        </is>
      </c>
      <c r="B13" s="32" t="inlineStr">
        <is>
          <t>data/field_1</t>
        </is>
      </c>
      <c r="C13" s="32" t="inlineStr">
        <is>
          <t>qvapp_cfield</t>
        </is>
      </c>
      <c r="D13" s="32" t="inlineStr"/>
      <c r="E13" s="34" t="n">
        <v>665</v>
      </c>
      <c r="F13" s="32" t="inlineStr">
        <is>
          <t>2015-05-01T18:24:24</t>
        </is>
      </c>
    </row>
    <row r="14">
      <c r="A14" s="37" t="inlineStr">
        <is>
          <t>Executive Dashboard</t>
        </is>
      </c>
      <c r="B14" s="37" t="inlineStr">
        <is>
          <t>data/field_34</t>
        </is>
      </c>
      <c r="C14" s="37" t="inlineStr">
        <is>
          <t>qvapp_cfield</t>
        </is>
      </c>
      <c r="D14" s="37" t="inlineStr"/>
      <c r="E14" s="39" t="n">
        <v>220</v>
      </c>
      <c r="F14" s="37" t="inlineStr">
        <is>
          <t>2015-05-01T18:24:24</t>
        </is>
      </c>
    </row>
    <row r="15">
      <c r="A15" s="32" t="inlineStr">
        <is>
          <t>Executive Dashboard</t>
        </is>
      </c>
      <c r="B15" s="32" t="inlineStr">
        <is>
          <t>data/field_6</t>
        </is>
      </c>
      <c r="C15" s="32" t="inlineStr">
        <is>
          <t>qvapp_cfield</t>
        </is>
      </c>
      <c r="D15" s="32" t="inlineStr"/>
      <c r="E15" s="34" t="n">
        <v>298</v>
      </c>
      <c r="F15" s="32" t="inlineStr">
        <is>
          <t>2015-05-01T18:24:24</t>
        </is>
      </c>
    </row>
    <row r="16">
      <c r="A16" s="37" t="inlineStr">
        <is>
          <t>Executive Dashboard</t>
        </is>
      </c>
      <c r="B16" s="37" t="inlineStr">
        <is>
          <t>data/field_7</t>
        </is>
      </c>
      <c r="C16" s="37" t="inlineStr">
        <is>
          <t>qvapp_cfield</t>
        </is>
      </c>
      <c r="D16" s="37" t="inlineStr"/>
      <c r="E16" s="39" t="n">
        <v>231</v>
      </c>
      <c r="F16" s="37" t="inlineStr">
        <is>
          <t>2015-05-01T18:24:24</t>
        </is>
      </c>
    </row>
    <row r="17">
      <c r="A17" s="32" t="inlineStr">
        <is>
          <t>Executive Dashboard</t>
        </is>
      </c>
      <c r="B17" s="32" t="inlineStr">
        <is>
          <t>data/field_8</t>
        </is>
      </c>
      <c r="C17" s="32" t="inlineStr">
        <is>
          <t>qvapp_cfield</t>
        </is>
      </c>
      <c r="D17" s="32" t="inlineStr"/>
      <c r="E17" s="34" t="n">
        <v>518</v>
      </c>
      <c r="F17" s="32" t="inlineStr">
        <is>
          <t>2015-05-01T18:24:24</t>
        </is>
      </c>
    </row>
    <row r="18">
      <c r="A18" s="37" t="inlineStr">
        <is>
          <t>Executive Dashboard</t>
        </is>
      </c>
      <c r="B18" s="37" t="inlineStr">
        <is>
          <t>data/field_9</t>
        </is>
      </c>
      <c r="C18" s="37" t="inlineStr">
        <is>
          <t>qvapp_cfield</t>
        </is>
      </c>
      <c r="D18" s="37" t="inlineStr"/>
      <c r="E18" s="39" t="n">
        <v>799</v>
      </c>
      <c r="F18" s="37" t="inlineStr">
        <is>
          <t>2015-05-01T18:24:24</t>
        </is>
      </c>
    </row>
    <row r="19">
      <c r="A19" s="32" t="inlineStr">
        <is>
          <t>Executive Dashboard</t>
        </is>
      </c>
      <c r="B19" s="32" t="inlineStr">
        <is>
          <t>data/field_10</t>
        </is>
      </c>
      <c r="C19" s="32" t="inlineStr">
        <is>
          <t>qvapp_cfield</t>
        </is>
      </c>
      <c r="D19" s="32" t="inlineStr"/>
      <c r="E19" s="34" t="n">
        <v>907</v>
      </c>
      <c r="F19" s="32" t="inlineStr">
        <is>
          <t>2015-05-01T18:24:24</t>
        </is>
      </c>
    </row>
    <row r="20">
      <c r="A20" s="37" t="inlineStr">
        <is>
          <t>Executive Dashboard</t>
        </is>
      </c>
      <c r="B20" s="37" t="inlineStr">
        <is>
          <t>data/field_11</t>
        </is>
      </c>
      <c r="C20" s="37" t="inlineStr">
        <is>
          <t>qvapp_cfield</t>
        </is>
      </c>
      <c r="D20" s="37" t="inlineStr"/>
      <c r="E20" s="39" t="n">
        <v>5724</v>
      </c>
      <c r="F20" s="37" t="inlineStr">
        <is>
          <t>2015-05-01T18:24:24</t>
        </is>
      </c>
    </row>
    <row r="21">
      <c r="A21" s="32" t="inlineStr">
        <is>
          <t>Executive Dashboard</t>
        </is>
      </c>
      <c r="B21" s="32" t="inlineStr">
        <is>
          <t>data/field_12</t>
        </is>
      </c>
      <c r="C21" s="32" t="inlineStr">
        <is>
          <t>qvapp_cfield</t>
        </is>
      </c>
      <c r="D21" s="32" t="inlineStr"/>
      <c r="E21" s="34" t="n">
        <v>363</v>
      </c>
      <c r="F21" s="32" t="inlineStr">
        <is>
          <t>2015-05-01T18:24:24</t>
        </is>
      </c>
    </row>
    <row r="22">
      <c r="A22" s="37" t="inlineStr">
        <is>
          <t>Executive Dashboard</t>
        </is>
      </c>
      <c r="B22" s="37" t="inlineStr">
        <is>
          <t>data/field_13</t>
        </is>
      </c>
      <c r="C22" s="37" t="inlineStr">
        <is>
          <t>qvapp_cfield</t>
        </is>
      </c>
      <c r="D22" s="37" t="inlineStr"/>
      <c r="E22" s="39" t="n">
        <v>1306</v>
      </c>
      <c r="F22" s="37" t="inlineStr">
        <is>
          <t>2015-05-01T18:24:24</t>
        </is>
      </c>
    </row>
    <row r="23">
      <c r="A23" s="32" t="inlineStr">
        <is>
          <t>Executive Dashboard</t>
        </is>
      </c>
      <c r="B23" s="32" t="inlineStr">
        <is>
          <t>data/field_14</t>
        </is>
      </c>
      <c r="C23" s="32" t="inlineStr">
        <is>
          <t>qvapp_cfield</t>
        </is>
      </c>
      <c r="D23" s="32" t="inlineStr"/>
      <c r="E23" s="34" t="n">
        <v>2581</v>
      </c>
      <c r="F23" s="32" t="inlineStr">
        <is>
          <t>2015-05-01T18:24:24</t>
        </is>
      </c>
    </row>
    <row r="24">
      <c r="A24" s="37" t="inlineStr">
        <is>
          <t>Executive Dashboard</t>
        </is>
      </c>
      <c r="B24" s="37" t="inlineStr">
        <is>
          <t>data/field_15</t>
        </is>
      </c>
      <c r="C24" s="37" t="inlineStr">
        <is>
          <t>qvapp_cfield</t>
        </is>
      </c>
      <c r="D24" s="37" t="inlineStr"/>
      <c r="E24" s="39" t="n">
        <v>920</v>
      </c>
      <c r="F24" s="37" t="inlineStr">
        <is>
          <t>2015-05-01T18:24:24</t>
        </is>
      </c>
    </row>
    <row r="25">
      <c r="A25" s="32" t="inlineStr">
        <is>
          <t>Executive Dashboard</t>
        </is>
      </c>
      <c r="B25" s="32" t="inlineStr">
        <is>
          <t>data/field_16</t>
        </is>
      </c>
      <c r="C25" s="32" t="inlineStr">
        <is>
          <t>qvapp_cfield</t>
        </is>
      </c>
      <c r="D25" s="32" t="inlineStr"/>
      <c r="E25" s="34" t="n">
        <v>251</v>
      </c>
      <c r="F25" s="32" t="inlineStr">
        <is>
          <t>2015-05-01T18:24:24</t>
        </is>
      </c>
    </row>
    <row r="26">
      <c r="A26" s="37" t="inlineStr">
        <is>
          <t>Executive Dashboard</t>
        </is>
      </c>
      <c r="B26" s="37" t="inlineStr">
        <is>
          <t>data/field_17</t>
        </is>
      </c>
      <c r="C26" s="37" t="inlineStr">
        <is>
          <t>qvapp_cfield</t>
        </is>
      </c>
      <c r="D26" s="37" t="inlineStr"/>
      <c r="E26" s="39" t="n">
        <v>206</v>
      </c>
      <c r="F26" s="37" t="inlineStr">
        <is>
          <t>2015-05-01T18:24:24</t>
        </is>
      </c>
    </row>
    <row r="27">
      <c r="A27" s="32" t="inlineStr">
        <is>
          <t>Executive Dashboard</t>
        </is>
      </c>
      <c r="B27" s="32" t="inlineStr">
        <is>
          <t>data/field_18</t>
        </is>
      </c>
      <c r="C27" s="32" t="inlineStr">
        <is>
          <t>qvapp_cfield</t>
        </is>
      </c>
      <c r="D27" s="32" t="inlineStr"/>
      <c r="E27" s="34" t="n">
        <v>367</v>
      </c>
      <c r="F27" s="32" t="inlineStr">
        <is>
          <t>2015-05-01T18:24:24</t>
        </is>
      </c>
    </row>
    <row r="28">
      <c r="A28" s="37" t="inlineStr">
        <is>
          <t>Executive Dashboard</t>
        </is>
      </c>
      <c r="B28" s="37" t="inlineStr">
        <is>
          <t>data/field_19</t>
        </is>
      </c>
      <c r="C28" s="37" t="inlineStr">
        <is>
          <t>qvapp_cfield</t>
        </is>
      </c>
      <c r="D28" s="37" t="inlineStr"/>
      <c r="E28" s="39" t="n">
        <v>285</v>
      </c>
      <c r="F28" s="37" t="inlineStr">
        <is>
          <t>2015-05-01T18:24:24</t>
        </is>
      </c>
    </row>
    <row r="29">
      <c r="A29" s="32" t="inlineStr">
        <is>
          <t>Executive Dashboard</t>
        </is>
      </c>
      <c r="B29" s="32" t="inlineStr">
        <is>
          <t>data/field_20</t>
        </is>
      </c>
      <c r="C29" s="32" t="inlineStr">
        <is>
          <t>qvapp_cfield</t>
        </is>
      </c>
      <c r="D29" s="32" t="inlineStr"/>
      <c r="E29" s="34" t="n">
        <v>1822</v>
      </c>
      <c r="F29" s="32" t="inlineStr">
        <is>
          <t>2015-05-01T18:24:24</t>
        </is>
      </c>
    </row>
    <row r="30">
      <c r="A30" s="37" t="inlineStr">
        <is>
          <t>Executive Dashboard</t>
        </is>
      </c>
      <c r="B30" s="37" t="inlineStr">
        <is>
          <t>data/field_21</t>
        </is>
      </c>
      <c r="C30" s="37" t="inlineStr">
        <is>
          <t>qvapp_cfield</t>
        </is>
      </c>
      <c r="D30" s="37" t="inlineStr"/>
      <c r="E30" s="39" t="n">
        <v>646</v>
      </c>
      <c r="F30" s="37" t="inlineStr">
        <is>
          <t>2015-05-01T18:24:24</t>
        </is>
      </c>
    </row>
    <row r="31">
      <c r="A31" s="32" t="inlineStr">
        <is>
          <t>Executive Dashboard</t>
        </is>
      </c>
      <c r="B31" s="32" t="inlineStr">
        <is>
          <t>data/field_22</t>
        </is>
      </c>
      <c r="C31" s="32" t="inlineStr">
        <is>
          <t>qvapp_cfield</t>
        </is>
      </c>
      <c r="D31" s="32" t="inlineStr"/>
      <c r="E31" s="34" t="n">
        <v>460</v>
      </c>
      <c r="F31" s="32" t="inlineStr">
        <is>
          <t>2015-05-01T18:24:24</t>
        </is>
      </c>
    </row>
    <row r="32">
      <c r="A32" s="37" t="inlineStr">
        <is>
          <t>Executive Dashboard</t>
        </is>
      </c>
      <c r="B32" s="37" t="inlineStr">
        <is>
          <t>data/field_23</t>
        </is>
      </c>
      <c r="C32" s="37" t="inlineStr">
        <is>
          <t>qvapp_cfield</t>
        </is>
      </c>
      <c r="D32" s="37" t="inlineStr"/>
      <c r="E32" s="39" t="n">
        <v>351</v>
      </c>
      <c r="F32" s="37" t="inlineStr">
        <is>
          <t>2015-05-01T18:24:24</t>
        </is>
      </c>
    </row>
    <row r="33">
      <c r="A33" s="32" t="inlineStr">
        <is>
          <t>Executive Dashboard</t>
        </is>
      </c>
      <c r="B33" s="32" t="inlineStr">
        <is>
          <t>data/field_24</t>
        </is>
      </c>
      <c r="C33" s="32" t="inlineStr">
        <is>
          <t>qvapp_cfield</t>
        </is>
      </c>
      <c r="D33" s="32" t="inlineStr"/>
      <c r="E33" s="34" t="n">
        <v>2245</v>
      </c>
      <c r="F33" s="32" t="inlineStr">
        <is>
          <t>2015-05-01T18:24:24</t>
        </is>
      </c>
    </row>
    <row r="34">
      <c r="A34" s="37" t="inlineStr">
        <is>
          <t>Executive Dashboard</t>
        </is>
      </c>
      <c r="B34" s="37" t="inlineStr">
        <is>
          <t>data/field_25</t>
        </is>
      </c>
      <c r="C34" s="37" t="inlineStr">
        <is>
          <t>qvapp_cfield</t>
        </is>
      </c>
      <c r="D34" s="37" t="inlineStr"/>
      <c r="E34" s="39" t="n">
        <v>331</v>
      </c>
      <c r="F34" s="37" t="inlineStr">
        <is>
          <t>2015-05-01T18:24:24</t>
        </is>
      </c>
    </row>
    <row r="35">
      <c r="A35" s="32" t="inlineStr">
        <is>
          <t>Executive Dashboard</t>
        </is>
      </c>
      <c r="B35" s="32" t="inlineStr">
        <is>
          <t>data/field_26</t>
        </is>
      </c>
      <c r="C35" s="32" t="inlineStr">
        <is>
          <t>qvapp_cfield</t>
        </is>
      </c>
      <c r="D35" s="32" t="inlineStr"/>
      <c r="E35" s="34" t="n">
        <v>740</v>
      </c>
      <c r="F35" s="32" t="inlineStr">
        <is>
          <t>2015-05-01T18:24:24</t>
        </is>
      </c>
    </row>
    <row r="36">
      <c r="A36" s="37" t="inlineStr">
        <is>
          <t>Executive Dashboard</t>
        </is>
      </c>
      <c r="B36" s="37" t="inlineStr">
        <is>
          <t>data/field_29</t>
        </is>
      </c>
      <c r="C36" s="37" t="inlineStr">
        <is>
          <t>qvapp_cfield</t>
        </is>
      </c>
      <c r="D36" s="37" t="inlineStr"/>
      <c r="E36" s="39" t="n">
        <v>558</v>
      </c>
      <c r="F36" s="37" t="inlineStr">
        <is>
          <t>2015-05-01T18:24:24</t>
        </is>
      </c>
    </row>
    <row r="37">
      <c r="A37" s="32" t="inlineStr">
        <is>
          <t>Executive Dashboard</t>
        </is>
      </c>
      <c r="B37" s="32" t="inlineStr">
        <is>
          <t>data/field_35</t>
        </is>
      </c>
      <c r="C37" s="32" t="inlineStr">
        <is>
          <t>qvapp_cfield</t>
        </is>
      </c>
      <c r="D37" s="32" t="inlineStr"/>
      <c r="E37" s="34" t="n">
        <v>3502</v>
      </c>
      <c r="F37" s="32" t="inlineStr">
        <is>
          <t>2015-05-01T18:24:24</t>
        </is>
      </c>
    </row>
    <row r="38">
      <c r="A38" s="37" t="inlineStr">
        <is>
          <t>Executive Dashboard</t>
        </is>
      </c>
      <c r="B38" s="37" t="inlineStr">
        <is>
          <t>data/field_36</t>
        </is>
      </c>
      <c r="C38" s="37" t="inlineStr">
        <is>
          <t>qvapp_cfield</t>
        </is>
      </c>
      <c r="D38" s="37" t="inlineStr"/>
      <c r="E38" s="39" t="n">
        <v>137511</v>
      </c>
      <c r="F38" s="37" t="inlineStr">
        <is>
          <t>2015-05-01T18:24:24</t>
        </is>
      </c>
    </row>
    <row r="39">
      <c r="A39" s="32" t="inlineStr">
        <is>
          <t>Executive Dashboard</t>
        </is>
      </c>
      <c r="B39" s="32" t="inlineStr">
        <is>
          <t>data/field_37</t>
        </is>
      </c>
      <c r="C39" s="32" t="inlineStr">
        <is>
          <t>qvapp_cfield</t>
        </is>
      </c>
      <c r="D39" s="32" t="inlineStr"/>
      <c r="E39" s="34" t="n">
        <v>220</v>
      </c>
      <c r="F39" s="32" t="inlineStr">
        <is>
          <t>2015-05-01T18:24:24</t>
        </is>
      </c>
    </row>
    <row r="40">
      <c r="A40" s="37" t="inlineStr">
        <is>
          <t>Executive Dashboard</t>
        </is>
      </c>
      <c r="B40" s="37" t="inlineStr">
        <is>
          <t>data/field_38</t>
        </is>
      </c>
      <c r="C40" s="37" t="inlineStr">
        <is>
          <t>qvapp_cfield</t>
        </is>
      </c>
      <c r="D40" s="37" t="inlineStr"/>
      <c r="E40" s="39" t="n">
        <v>188</v>
      </c>
      <c r="F40" s="37" t="inlineStr">
        <is>
          <t>2015-05-01T18:24:24</t>
        </is>
      </c>
    </row>
    <row r="41">
      <c r="A41" s="32" t="inlineStr">
        <is>
          <t>Executive Dashboard</t>
        </is>
      </c>
      <c r="B41" s="32" t="inlineStr">
        <is>
          <t>data/field_39</t>
        </is>
      </c>
      <c r="C41" s="32" t="inlineStr">
        <is>
          <t>qvapp_cfield</t>
        </is>
      </c>
      <c r="D41" s="32" t="inlineStr"/>
      <c r="E41" s="34" t="n">
        <v>50534</v>
      </c>
      <c r="F41" s="32" t="inlineStr">
        <is>
          <t>2015-05-01T18:24:24</t>
        </is>
      </c>
    </row>
    <row r="42">
      <c r="A42" s="37" t="inlineStr">
        <is>
          <t>Executive Dashboard</t>
        </is>
      </c>
      <c r="B42" s="37" t="inlineStr">
        <is>
          <t>data/field_40</t>
        </is>
      </c>
      <c r="C42" s="37" t="inlineStr">
        <is>
          <t>qvapp_cfield</t>
        </is>
      </c>
      <c r="D42" s="37" t="inlineStr"/>
      <c r="E42" s="39" t="n">
        <v>27361</v>
      </c>
      <c r="F42" s="37" t="inlineStr">
        <is>
          <t>2015-05-01T18:24:24</t>
        </is>
      </c>
    </row>
    <row r="43">
      <c r="A43" s="32" t="inlineStr">
        <is>
          <t>Executive Dashboard</t>
        </is>
      </c>
      <c r="B43" s="32" t="inlineStr">
        <is>
          <t>data/field_41</t>
        </is>
      </c>
      <c r="C43" s="32" t="inlineStr">
        <is>
          <t>qvapp_cfield</t>
        </is>
      </c>
      <c r="D43" s="32" t="inlineStr"/>
      <c r="E43" s="34" t="n">
        <v>54130</v>
      </c>
      <c r="F43" s="32" t="inlineStr">
        <is>
          <t>2015-05-01T18:24:24</t>
        </is>
      </c>
    </row>
    <row r="44">
      <c r="A44" s="37" t="inlineStr">
        <is>
          <t>Executive Dashboard</t>
        </is>
      </c>
      <c r="B44" s="37" t="inlineStr">
        <is>
          <t>data/field_42</t>
        </is>
      </c>
      <c r="C44" s="37" t="inlineStr">
        <is>
          <t>qvapp_cfield</t>
        </is>
      </c>
      <c r="D44" s="37" t="inlineStr"/>
      <c r="E44" s="39" t="n">
        <v>25109</v>
      </c>
      <c r="F44" s="37" t="inlineStr">
        <is>
          <t>2015-05-01T18:24:24</t>
        </is>
      </c>
    </row>
    <row r="45">
      <c r="A45" s="32" t="inlineStr">
        <is>
          <t>Executive Dashboard</t>
        </is>
      </c>
      <c r="B45" s="32" t="inlineStr">
        <is>
          <t>data/field_43</t>
        </is>
      </c>
      <c r="C45" s="32" t="inlineStr">
        <is>
          <t>qvapp_cfield</t>
        </is>
      </c>
      <c r="D45" s="32" t="inlineStr"/>
      <c r="E45" s="34" t="n">
        <v>982</v>
      </c>
      <c r="F45" s="32" t="inlineStr">
        <is>
          <t>2015-05-01T18:24:24</t>
        </is>
      </c>
    </row>
    <row r="46">
      <c r="A46" s="37" t="inlineStr">
        <is>
          <t>Executive Dashboard</t>
        </is>
      </c>
      <c r="B46" s="37" t="inlineStr">
        <is>
          <t>data/field_44</t>
        </is>
      </c>
      <c r="C46" s="37" t="inlineStr">
        <is>
          <t>qvapp_cfield</t>
        </is>
      </c>
      <c r="D46" s="37" t="inlineStr"/>
      <c r="E46" s="39" t="n">
        <v>1385</v>
      </c>
      <c r="F46" s="37" t="inlineStr">
        <is>
          <t>2015-05-01T18:24:24</t>
        </is>
      </c>
    </row>
    <row r="47">
      <c r="A47" s="32" t="inlineStr">
        <is>
          <t>Executive Dashboard</t>
        </is>
      </c>
      <c r="B47" s="32" t="inlineStr">
        <is>
          <t>data/field_45</t>
        </is>
      </c>
      <c r="C47" s="32" t="inlineStr">
        <is>
          <t>qvapp_cfield</t>
        </is>
      </c>
      <c r="D47" s="32" t="inlineStr"/>
      <c r="E47" s="34" t="n">
        <v>328</v>
      </c>
      <c r="F47" s="32" t="inlineStr">
        <is>
          <t>2015-05-01T18:24:24</t>
        </is>
      </c>
    </row>
    <row r="48">
      <c r="A48" s="37" t="inlineStr">
        <is>
          <t>Executive Dashboard</t>
        </is>
      </c>
      <c r="B48" s="37" t="inlineStr">
        <is>
          <t>data/field_46</t>
        </is>
      </c>
      <c r="C48" s="37" t="inlineStr">
        <is>
          <t>qvapp_cfield</t>
        </is>
      </c>
      <c r="D48" s="37" t="inlineStr"/>
      <c r="E48" s="39" t="n">
        <v>19691</v>
      </c>
      <c r="F48" s="37" t="inlineStr">
        <is>
          <t>2015-05-01T18:24:24</t>
        </is>
      </c>
    </row>
    <row r="49">
      <c r="A49" s="32" t="inlineStr">
        <is>
          <t>Executive Dashboard</t>
        </is>
      </c>
      <c r="B49" s="32" t="inlineStr">
        <is>
          <t>data/field_47</t>
        </is>
      </c>
      <c r="C49" s="32" t="inlineStr">
        <is>
          <t>qvapp_cfield</t>
        </is>
      </c>
      <c r="D49" s="32" t="inlineStr"/>
      <c r="E49" s="34" t="n">
        <v>11667</v>
      </c>
      <c r="F49" s="32" t="inlineStr">
        <is>
          <t>2015-05-01T18:24:24</t>
        </is>
      </c>
    </row>
    <row r="50">
      <c r="A50" s="37" t="inlineStr">
        <is>
          <t>Executive Dashboard</t>
        </is>
      </c>
      <c r="B50" s="37" t="inlineStr">
        <is>
          <t>data/field_48</t>
        </is>
      </c>
      <c r="C50" s="37" t="inlineStr">
        <is>
          <t>qvapp_cfield</t>
        </is>
      </c>
      <c r="D50" s="37" t="inlineStr"/>
      <c r="E50" s="39" t="n">
        <v>192</v>
      </c>
      <c r="F50" s="37" t="inlineStr">
        <is>
          <t>2015-05-01T18:24:24</t>
        </is>
      </c>
    </row>
    <row r="51">
      <c r="A51" s="32" t="inlineStr">
        <is>
          <t>Executive Dashboard</t>
        </is>
      </c>
      <c r="B51" s="32" t="inlineStr">
        <is>
          <t>data/field_49</t>
        </is>
      </c>
      <c r="C51" s="32" t="inlineStr">
        <is>
          <t>qvapp_cfield</t>
        </is>
      </c>
      <c r="D51" s="32" t="inlineStr"/>
      <c r="E51" s="34" t="n">
        <v>643</v>
      </c>
      <c r="F51" s="32" t="inlineStr">
        <is>
          <t>2015-05-01T18:24:24</t>
        </is>
      </c>
    </row>
    <row r="52">
      <c r="A52" s="37" t="inlineStr">
        <is>
          <t>Executive Dashboard</t>
        </is>
      </c>
      <c r="B52" s="37" t="inlineStr">
        <is>
          <t>data/field_50</t>
        </is>
      </c>
      <c r="C52" s="37" t="inlineStr">
        <is>
          <t>qvapp_cfield</t>
        </is>
      </c>
      <c r="D52" s="37" t="inlineStr"/>
      <c r="E52" s="39" t="n">
        <v>1598</v>
      </c>
      <c r="F52" s="37" t="inlineStr">
        <is>
          <t>2015-05-01T18:24:24</t>
        </is>
      </c>
    </row>
    <row r="53">
      <c r="A53" s="32" t="inlineStr">
        <is>
          <t>Executive Dashboard</t>
        </is>
      </c>
      <c r="B53" s="32" t="inlineStr">
        <is>
          <t>data/field_51</t>
        </is>
      </c>
      <c r="C53" s="32" t="inlineStr">
        <is>
          <t>qvapp_cfield</t>
        </is>
      </c>
      <c r="D53" s="32" t="inlineStr"/>
      <c r="E53" s="34" t="n">
        <v>698</v>
      </c>
      <c r="F53" s="32" t="inlineStr">
        <is>
          <t>2015-05-01T18:24:24</t>
        </is>
      </c>
    </row>
    <row r="54">
      <c r="A54" s="37" t="inlineStr">
        <is>
          <t>Executive Dashboard</t>
        </is>
      </c>
      <c r="B54" s="37" t="inlineStr">
        <is>
          <t>data/field_52</t>
        </is>
      </c>
      <c r="C54" s="37" t="inlineStr">
        <is>
          <t>qvapp_cfield</t>
        </is>
      </c>
      <c r="D54" s="37" t="inlineStr"/>
      <c r="E54" s="39" t="n">
        <v>488</v>
      </c>
      <c r="F54" s="37" t="inlineStr">
        <is>
          <t>2015-05-01T18:24:24</t>
        </is>
      </c>
    </row>
    <row r="55">
      <c r="A55" s="32" t="inlineStr">
        <is>
          <t>Executive Dashboard</t>
        </is>
      </c>
      <c r="B55" s="32" t="inlineStr">
        <is>
          <t>data/field_53</t>
        </is>
      </c>
      <c r="C55" s="32" t="inlineStr">
        <is>
          <t>qvapp_cfield</t>
        </is>
      </c>
      <c r="D55" s="32" t="inlineStr"/>
      <c r="E55" s="34" t="n">
        <v>218</v>
      </c>
      <c r="F55" s="32" t="inlineStr">
        <is>
          <t>2015-05-01T18:24:24</t>
        </is>
      </c>
    </row>
    <row r="56">
      <c r="A56" s="37" t="inlineStr">
        <is>
          <t>Executive Dashboard</t>
        </is>
      </c>
      <c r="B56" s="37" t="inlineStr">
        <is>
          <t>data/field_54</t>
        </is>
      </c>
      <c r="C56" s="37" t="inlineStr">
        <is>
          <t>qvapp_cfield</t>
        </is>
      </c>
      <c r="D56" s="37" t="inlineStr"/>
      <c r="E56" s="39" t="n">
        <v>221</v>
      </c>
      <c r="F56" s="37" t="inlineStr">
        <is>
          <t>2015-05-01T18:24:24</t>
        </is>
      </c>
    </row>
    <row r="57">
      <c r="A57" s="32" t="inlineStr">
        <is>
          <t>Executive Dashboard</t>
        </is>
      </c>
      <c r="B57" s="32" t="inlineStr">
        <is>
          <t>data/field_55</t>
        </is>
      </c>
      <c r="C57" s="32" t="inlineStr">
        <is>
          <t>qvapp_cfield</t>
        </is>
      </c>
      <c r="D57" s="32" t="inlineStr"/>
      <c r="E57" s="34" t="n">
        <v>1433</v>
      </c>
      <c r="F57" s="32" t="inlineStr">
        <is>
          <t>2015-05-01T18:24:24</t>
        </is>
      </c>
    </row>
    <row r="58">
      <c r="A58" s="37" t="inlineStr">
        <is>
          <t>Executive Dashboard</t>
        </is>
      </c>
      <c r="B58" s="37" t="inlineStr">
        <is>
          <t>data/field_56</t>
        </is>
      </c>
      <c r="C58" s="37" t="inlineStr">
        <is>
          <t>qvapp_cfield</t>
        </is>
      </c>
      <c r="D58" s="37" t="inlineStr"/>
      <c r="E58" s="39" t="n">
        <v>623</v>
      </c>
      <c r="F58" s="37" t="inlineStr">
        <is>
          <t>2015-05-01T18:24:24</t>
        </is>
      </c>
    </row>
    <row r="59">
      <c r="A59" s="32" t="inlineStr">
        <is>
          <t>Executive Dashboard</t>
        </is>
      </c>
      <c r="B59" s="32" t="inlineStr">
        <is>
          <t>data/field_57</t>
        </is>
      </c>
      <c r="C59" s="32" t="inlineStr">
        <is>
          <t>qvapp_cfield</t>
        </is>
      </c>
      <c r="D59" s="32" t="inlineStr"/>
      <c r="E59" s="34" t="n">
        <v>206</v>
      </c>
      <c r="F59" s="32" t="inlineStr">
        <is>
          <t>2015-05-01T18:24:24</t>
        </is>
      </c>
    </row>
    <row r="60">
      <c r="A60" s="37" t="inlineStr">
        <is>
          <t>Executive Dashboard</t>
        </is>
      </c>
      <c r="B60" s="37" t="inlineStr">
        <is>
          <t>data/field_58</t>
        </is>
      </c>
      <c r="C60" s="37" t="inlineStr">
        <is>
          <t>qvapp_cfield</t>
        </is>
      </c>
      <c r="D60" s="37" t="inlineStr"/>
      <c r="E60" s="39" t="n">
        <v>218</v>
      </c>
      <c r="F60" s="37" t="inlineStr">
        <is>
          <t>2015-05-01T18:24:24</t>
        </is>
      </c>
    </row>
    <row r="61">
      <c r="A61" s="32" t="inlineStr">
        <is>
          <t>Executive Dashboard</t>
        </is>
      </c>
      <c r="B61" s="32" t="inlineStr">
        <is>
          <t>data/field_59</t>
        </is>
      </c>
      <c r="C61" s="32" t="inlineStr">
        <is>
          <t>qvapp_cfield</t>
        </is>
      </c>
      <c r="D61" s="32" t="inlineStr"/>
      <c r="E61" s="34" t="n">
        <v>206</v>
      </c>
      <c r="F61" s="32" t="inlineStr">
        <is>
          <t>2015-05-01T18:24:24</t>
        </is>
      </c>
    </row>
    <row r="62">
      <c r="A62" s="37" t="inlineStr">
        <is>
          <t>Executive Dashboard</t>
        </is>
      </c>
      <c r="B62" s="37" t="inlineStr">
        <is>
          <t>data/field_60</t>
        </is>
      </c>
      <c r="C62" s="37" t="inlineStr">
        <is>
          <t>qvapp_cfield</t>
        </is>
      </c>
      <c r="D62" s="37" t="inlineStr"/>
      <c r="E62" s="39" t="n">
        <v>213</v>
      </c>
      <c r="F62" s="37" t="inlineStr">
        <is>
          <t>2015-05-01T18:24:24</t>
        </is>
      </c>
    </row>
    <row r="63">
      <c r="A63" s="32" t="inlineStr">
        <is>
          <t>Executive Dashboard</t>
        </is>
      </c>
      <c r="B63" s="32" t="inlineStr">
        <is>
          <t>data/field_61</t>
        </is>
      </c>
      <c r="C63" s="32" t="inlineStr">
        <is>
          <t>qvapp_cfield</t>
        </is>
      </c>
      <c r="D63" s="32" t="inlineStr"/>
      <c r="E63" s="34" t="n">
        <v>214</v>
      </c>
      <c r="F63" s="32" t="inlineStr">
        <is>
          <t>2015-05-01T18:24:24</t>
        </is>
      </c>
    </row>
    <row r="64">
      <c r="A64" s="37" t="inlineStr">
        <is>
          <t>Executive Dashboard</t>
        </is>
      </c>
      <c r="B64" s="37" t="inlineStr">
        <is>
          <t>data/field_62</t>
        </is>
      </c>
      <c r="C64" s="37" t="inlineStr">
        <is>
          <t>qvapp_cfield</t>
        </is>
      </c>
      <c r="D64" s="37" t="inlineStr"/>
      <c r="E64" s="39" t="n">
        <v>242</v>
      </c>
      <c r="F64" s="37" t="inlineStr">
        <is>
          <t>2015-05-01T18:24:24</t>
        </is>
      </c>
    </row>
    <row r="65">
      <c r="A65" s="32" t="inlineStr">
        <is>
          <t>Executive Dashboard</t>
        </is>
      </c>
      <c r="B65" s="32" t="inlineStr">
        <is>
          <t>data/field_63</t>
        </is>
      </c>
      <c r="C65" s="32" t="inlineStr">
        <is>
          <t>qvapp_cfield</t>
        </is>
      </c>
      <c r="D65" s="32" t="inlineStr"/>
      <c r="E65" s="34" t="n">
        <v>217</v>
      </c>
      <c r="F65" s="32" t="inlineStr">
        <is>
          <t>2015-05-01T18:24:24</t>
        </is>
      </c>
    </row>
    <row r="66">
      <c r="A66" s="37" t="inlineStr">
        <is>
          <t>Executive Dashboard</t>
        </is>
      </c>
      <c r="B66" s="37" t="inlineStr">
        <is>
          <t>data/field_64</t>
        </is>
      </c>
      <c r="C66" s="37" t="inlineStr">
        <is>
          <t>qvapp_cfield</t>
        </is>
      </c>
      <c r="D66" s="37" t="inlineStr"/>
      <c r="E66" s="39" t="n">
        <v>304</v>
      </c>
      <c r="F66" s="37" t="inlineStr">
        <is>
          <t>2015-05-01T18:24:24</t>
        </is>
      </c>
    </row>
    <row r="67">
      <c r="A67" s="32" t="inlineStr">
        <is>
          <t>Executive Dashboard</t>
        </is>
      </c>
      <c r="B67" s="32" t="inlineStr">
        <is>
          <t>data/field_65</t>
        </is>
      </c>
      <c r="C67" s="32" t="inlineStr">
        <is>
          <t>qvapp_cfield</t>
        </is>
      </c>
      <c r="D67" s="32" t="inlineStr"/>
      <c r="E67" s="34" t="n">
        <v>255</v>
      </c>
      <c r="F67" s="32" t="inlineStr">
        <is>
          <t>2015-05-01T18:24:24</t>
        </is>
      </c>
    </row>
    <row r="68">
      <c r="A68" s="37" t="inlineStr">
        <is>
          <t>Executive Dashboard</t>
        </is>
      </c>
      <c r="B68" s="37" t="inlineStr">
        <is>
          <t>data/field_66</t>
        </is>
      </c>
      <c r="C68" s="37" t="inlineStr">
        <is>
          <t>qvapp_cfield</t>
        </is>
      </c>
      <c r="D68" s="37" t="inlineStr"/>
      <c r="E68" s="39" t="n">
        <v>181</v>
      </c>
      <c r="F68" s="37" t="inlineStr">
        <is>
          <t>2015-05-01T18:24:24</t>
        </is>
      </c>
    </row>
    <row r="69">
      <c r="A69" s="32" t="inlineStr">
        <is>
          <t>Executive Dashboard</t>
        </is>
      </c>
      <c r="B69" s="32" t="inlineStr">
        <is>
          <t>data/field_67</t>
        </is>
      </c>
      <c r="C69" s="32" t="inlineStr">
        <is>
          <t>qvapp_cfield</t>
        </is>
      </c>
      <c r="D69" s="32" t="inlineStr"/>
      <c r="E69" s="34" t="n">
        <v>202</v>
      </c>
      <c r="F69" s="32" t="inlineStr">
        <is>
          <t>2015-05-01T18:24:24</t>
        </is>
      </c>
    </row>
    <row r="70">
      <c r="A70" s="37" t="inlineStr">
        <is>
          <t>Executive Dashboard</t>
        </is>
      </c>
      <c r="B70" s="37" t="inlineStr">
        <is>
          <t>data/field_68</t>
        </is>
      </c>
      <c r="C70" s="37" t="inlineStr">
        <is>
          <t>qvapp_cfield</t>
        </is>
      </c>
      <c r="D70" s="37" t="inlineStr"/>
      <c r="E70" s="39" t="n">
        <v>248</v>
      </c>
      <c r="F70" s="37" t="inlineStr">
        <is>
          <t>2015-05-01T18:24:24</t>
        </is>
      </c>
    </row>
    <row r="71">
      <c r="A71" s="32" t="inlineStr">
        <is>
          <t>Executive Dashboard</t>
        </is>
      </c>
      <c r="B71" s="32" t="inlineStr">
        <is>
          <t>data/field_69</t>
        </is>
      </c>
      <c r="C71" s="32" t="inlineStr">
        <is>
          <t>qvapp_cfield</t>
        </is>
      </c>
      <c r="D71" s="32" t="inlineStr"/>
      <c r="E71" s="34" t="n">
        <v>245</v>
      </c>
      <c r="F71" s="32" t="inlineStr">
        <is>
          <t>2015-05-01T18:24:24</t>
        </is>
      </c>
    </row>
    <row r="72">
      <c r="A72" s="37" t="inlineStr">
        <is>
          <t>Executive Dashboard</t>
        </is>
      </c>
      <c r="B72" s="37" t="inlineStr">
        <is>
          <t>data/field_70</t>
        </is>
      </c>
      <c r="C72" s="37" t="inlineStr">
        <is>
          <t>qvapp_cfield</t>
        </is>
      </c>
      <c r="D72" s="37" t="inlineStr"/>
      <c r="E72" s="39" t="n">
        <v>221</v>
      </c>
      <c r="F72" s="37" t="inlineStr">
        <is>
          <t>2015-05-01T18:24:24</t>
        </is>
      </c>
    </row>
    <row r="73">
      <c r="A73" s="32" t="inlineStr">
        <is>
          <t>Executive Dashboard</t>
        </is>
      </c>
      <c r="B73" s="32" t="inlineStr">
        <is>
          <t>data/field_71</t>
        </is>
      </c>
      <c r="C73" s="32" t="inlineStr">
        <is>
          <t>qvapp_cfield</t>
        </is>
      </c>
      <c r="D73" s="32" t="inlineStr"/>
      <c r="E73" s="34" t="n">
        <v>822</v>
      </c>
      <c r="F73" s="32" t="inlineStr">
        <is>
          <t>2015-05-01T18:24:24</t>
        </is>
      </c>
    </row>
    <row r="74">
      <c r="A74" s="37" t="inlineStr">
        <is>
          <t>Executive Dashboard</t>
        </is>
      </c>
      <c r="B74" s="37" t="inlineStr">
        <is>
          <t>data/field_72</t>
        </is>
      </c>
      <c r="C74" s="37" t="inlineStr">
        <is>
          <t>qvapp_cfield</t>
        </is>
      </c>
      <c r="D74" s="37" t="inlineStr"/>
      <c r="E74" s="39" t="n">
        <v>733</v>
      </c>
      <c r="F74" s="37" t="inlineStr">
        <is>
          <t>2015-05-01T18:24:24</t>
        </is>
      </c>
    </row>
    <row r="75">
      <c r="A75" s="32" t="inlineStr">
        <is>
          <t>Executive Dashboard</t>
        </is>
      </c>
      <c r="B75" s="32" t="inlineStr">
        <is>
          <t>data/field_73</t>
        </is>
      </c>
      <c r="C75" s="32" t="inlineStr">
        <is>
          <t>qvapp_cfield</t>
        </is>
      </c>
      <c r="D75" s="32" t="inlineStr"/>
      <c r="E75" s="34" t="n">
        <v>603</v>
      </c>
      <c r="F75" s="32" t="inlineStr">
        <is>
          <t>2015-05-01T18:24:24</t>
        </is>
      </c>
    </row>
    <row r="76">
      <c r="A76" s="37" t="inlineStr">
        <is>
          <t>Executive Dashboard</t>
        </is>
      </c>
      <c r="B76" s="37" t="inlineStr">
        <is>
          <t>data/field_74</t>
        </is>
      </c>
      <c r="C76" s="37" t="inlineStr">
        <is>
          <t>qvapp_cfield</t>
        </is>
      </c>
      <c r="D76" s="37" t="inlineStr"/>
      <c r="E76" s="39" t="n">
        <v>550</v>
      </c>
      <c r="F76" s="37" t="inlineStr">
        <is>
          <t>2015-05-01T18:24:24</t>
        </is>
      </c>
    </row>
    <row r="77">
      <c r="A77" s="32" t="inlineStr">
        <is>
          <t>Executive Dashboard</t>
        </is>
      </c>
      <c r="B77" s="32" t="inlineStr">
        <is>
          <t>data/field_75</t>
        </is>
      </c>
      <c r="C77" s="32" t="inlineStr">
        <is>
          <t>qvapp_cfield</t>
        </is>
      </c>
      <c r="D77" s="32" t="inlineStr"/>
      <c r="E77" s="34" t="n">
        <v>385</v>
      </c>
      <c r="F77" s="32" t="inlineStr">
        <is>
          <t>2015-05-01T18:24:24</t>
        </is>
      </c>
    </row>
    <row r="78">
      <c r="A78" s="37" t="inlineStr">
        <is>
          <t>Executive Dashboard</t>
        </is>
      </c>
      <c r="B78" s="37" t="inlineStr">
        <is>
          <t>data/field_76</t>
        </is>
      </c>
      <c r="C78" s="37" t="inlineStr">
        <is>
          <t>qvapp_cfield</t>
        </is>
      </c>
      <c r="D78" s="37" t="inlineStr"/>
      <c r="E78" s="39" t="n">
        <v>448</v>
      </c>
      <c r="F78" s="37" t="inlineStr">
        <is>
          <t>2015-05-01T18:24:24</t>
        </is>
      </c>
    </row>
    <row r="79">
      <c r="A79" s="32" t="inlineStr">
        <is>
          <t>Executive Dashboard</t>
        </is>
      </c>
      <c r="B79" s="32" t="inlineStr">
        <is>
          <t>data/field_77</t>
        </is>
      </c>
      <c r="C79" s="32" t="inlineStr">
        <is>
          <t>qvapp_cfield</t>
        </is>
      </c>
      <c r="D79" s="32" t="inlineStr"/>
      <c r="E79" s="34" t="n">
        <v>352</v>
      </c>
      <c r="F79" s="32" t="inlineStr">
        <is>
          <t>2015-05-01T18:24:24</t>
        </is>
      </c>
    </row>
    <row r="80">
      <c r="A80" s="37" t="inlineStr">
        <is>
          <t>Executive Dashboard</t>
        </is>
      </c>
      <c r="B80" s="37" t="inlineStr">
        <is>
          <t>data/field_78</t>
        </is>
      </c>
      <c r="C80" s="37" t="inlineStr">
        <is>
          <t>qvapp_cfield</t>
        </is>
      </c>
      <c r="D80" s="37" t="inlineStr"/>
      <c r="E80" s="39" t="n">
        <v>791</v>
      </c>
      <c r="F80" s="37" t="inlineStr">
        <is>
          <t>2015-05-01T18:24:24</t>
        </is>
      </c>
    </row>
    <row r="81">
      <c r="A81" s="32" t="inlineStr">
        <is>
          <t>Executive Dashboard</t>
        </is>
      </c>
      <c r="B81" s="32" t="inlineStr">
        <is>
          <t>data/field_79</t>
        </is>
      </c>
      <c r="C81" s="32" t="inlineStr">
        <is>
          <t>qvapp_cfield</t>
        </is>
      </c>
      <c r="D81" s="32" t="inlineStr"/>
      <c r="E81" s="34" t="n">
        <v>813</v>
      </c>
      <c r="F81" s="32" t="inlineStr">
        <is>
          <t>2015-05-01T18:24:24</t>
        </is>
      </c>
    </row>
    <row r="82">
      <c r="A82" s="37" t="inlineStr">
        <is>
          <t>Executive Dashboard</t>
        </is>
      </c>
      <c r="B82" s="37" t="inlineStr">
        <is>
          <t>data/field_80</t>
        </is>
      </c>
      <c r="C82" s="37" t="inlineStr">
        <is>
          <t>qvapp_cfield</t>
        </is>
      </c>
      <c r="D82" s="37" t="inlineStr"/>
      <c r="E82" s="39" t="n">
        <v>216</v>
      </c>
      <c r="F82" s="37" t="inlineStr">
        <is>
          <t>2015-05-01T18:24:24</t>
        </is>
      </c>
    </row>
    <row r="83">
      <c r="A83" s="32" t="inlineStr">
        <is>
          <t>Executive Dashboard</t>
        </is>
      </c>
      <c r="B83" s="32" t="inlineStr">
        <is>
          <t>data/field_81</t>
        </is>
      </c>
      <c r="C83" s="32" t="inlineStr">
        <is>
          <t>qvapp_cfield</t>
        </is>
      </c>
      <c r="D83" s="32" t="inlineStr"/>
      <c r="E83" s="34" t="n">
        <v>1284</v>
      </c>
      <c r="F83" s="32" t="inlineStr">
        <is>
          <t>2015-05-01T18:24:24</t>
        </is>
      </c>
    </row>
    <row r="84">
      <c r="A84" s="37" t="inlineStr">
        <is>
          <t>Executive Dashboard</t>
        </is>
      </c>
      <c r="B84" s="37" t="inlineStr">
        <is>
          <t>data/table_0</t>
        </is>
      </c>
      <c r="C84" s="37" t="inlineStr">
        <is>
          <t>qvapp_ctable</t>
        </is>
      </c>
      <c r="D84" s="37" t="inlineStr"/>
      <c r="E84" s="39" t="n">
        <v>244</v>
      </c>
      <c r="F84" s="37" t="inlineStr">
        <is>
          <t>2015-05-01T18:24:24</t>
        </is>
      </c>
    </row>
    <row r="85">
      <c r="A85" s="32" t="inlineStr">
        <is>
          <t>Executive Dashboard</t>
        </is>
      </c>
      <c r="B85" s="32" t="inlineStr">
        <is>
          <t>data/table_1</t>
        </is>
      </c>
      <c r="C85" s="32" t="inlineStr">
        <is>
          <t>qvapp_ctable</t>
        </is>
      </c>
      <c r="D85" s="32" t="inlineStr"/>
      <c r="E85" s="34" t="n">
        <v>372</v>
      </c>
      <c r="F85" s="32" t="inlineStr">
        <is>
          <t>2015-05-01T18:24:24</t>
        </is>
      </c>
    </row>
    <row r="86">
      <c r="A86" s="37" t="inlineStr">
        <is>
          <t>Executive Dashboard</t>
        </is>
      </c>
      <c r="B86" s="37" t="inlineStr">
        <is>
          <t>data/table_2</t>
        </is>
      </c>
      <c r="C86" s="37" t="inlineStr">
        <is>
          <t>qvapp_ctable</t>
        </is>
      </c>
      <c r="D86" s="37" t="inlineStr"/>
      <c r="E86" s="39" t="n">
        <v>640</v>
      </c>
      <c r="F86" s="37" t="inlineStr">
        <is>
          <t>2015-05-01T18:24:24</t>
        </is>
      </c>
    </row>
    <row r="87">
      <c r="A87" s="32" t="inlineStr">
        <is>
          <t>Executive Dashboard</t>
        </is>
      </c>
      <c r="B87" s="32" t="inlineStr">
        <is>
          <t>data/table_3</t>
        </is>
      </c>
      <c r="C87" s="32" t="inlineStr">
        <is>
          <t>qvapp_ctable</t>
        </is>
      </c>
      <c r="D87" s="32" t="inlineStr"/>
      <c r="E87" s="34" t="n">
        <v>4862</v>
      </c>
      <c r="F87" s="32" t="inlineStr">
        <is>
          <t>2015-05-01T18:24:24</t>
        </is>
      </c>
    </row>
    <row r="88">
      <c r="A88" s="37" t="inlineStr">
        <is>
          <t>Executive Dashboard</t>
        </is>
      </c>
      <c r="B88" s="37" t="inlineStr">
        <is>
          <t>data/table_4</t>
        </is>
      </c>
      <c r="C88" s="37" t="inlineStr">
        <is>
          <t>qvapp_ctable</t>
        </is>
      </c>
      <c r="D88" s="37" t="inlineStr"/>
      <c r="E88" s="39" t="n">
        <v>1967</v>
      </c>
      <c r="F88" s="37" t="inlineStr">
        <is>
          <t>2015-05-01T18:24:24</t>
        </is>
      </c>
    </row>
    <row r="89">
      <c r="A89" s="32" t="inlineStr">
        <is>
          <t>Executive Dashboard</t>
        </is>
      </c>
      <c r="B89" s="32" t="inlineStr">
        <is>
          <t>data/table_5</t>
        </is>
      </c>
      <c r="C89" s="32" t="inlineStr">
        <is>
          <t>qvapp_ctable</t>
        </is>
      </c>
      <c r="D89" s="32" t="inlineStr"/>
      <c r="E89" s="34" t="n">
        <v>368</v>
      </c>
      <c r="F89" s="32" t="inlineStr">
        <is>
          <t>2015-05-01T18:24:24</t>
        </is>
      </c>
    </row>
    <row r="90">
      <c r="A90" s="37" t="inlineStr">
        <is>
          <t>Executive Dashboard</t>
        </is>
      </c>
      <c r="B90" s="37" t="inlineStr">
        <is>
          <t>data/table_6</t>
        </is>
      </c>
      <c r="C90" s="37" t="inlineStr">
        <is>
          <t>qvapp_ctable</t>
        </is>
      </c>
      <c r="D90" s="37" t="inlineStr"/>
      <c r="E90" s="39" t="n">
        <v>272</v>
      </c>
      <c r="F90" s="37" t="inlineStr">
        <is>
          <t>2015-05-01T18:24:24</t>
        </is>
      </c>
    </row>
    <row r="91">
      <c r="A91" s="32" t="inlineStr">
        <is>
          <t>Executive Dashboard</t>
        </is>
      </c>
      <c r="B91" s="32" t="inlineStr">
        <is>
          <t>data/table_7</t>
        </is>
      </c>
      <c r="C91" s="32" t="inlineStr">
        <is>
          <t>qvapp_ctable</t>
        </is>
      </c>
      <c r="D91" s="32" t="inlineStr"/>
      <c r="E91" s="34" t="n">
        <v>256</v>
      </c>
      <c r="F91" s="32" t="inlineStr">
        <is>
          <t>2015-05-01T18:24:24</t>
        </is>
      </c>
    </row>
    <row r="92">
      <c r="A92" s="37" t="inlineStr">
        <is>
          <t>Executive Dashboard</t>
        </is>
      </c>
      <c r="B92" s="37" t="inlineStr">
        <is>
          <t>data/table_8</t>
        </is>
      </c>
      <c r="C92" s="37" t="inlineStr">
        <is>
          <t>qvapp_ctable</t>
        </is>
      </c>
      <c r="D92" s="37" t="inlineStr"/>
      <c r="E92" s="39" t="n">
        <v>2508</v>
      </c>
      <c r="F92" s="37" t="inlineStr">
        <is>
          <t>2015-05-01T18:24:24</t>
        </is>
      </c>
    </row>
    <row r="93">
      <c r="A93" s="32" t="inlineStr">
        <is>
          <t>Executive Dashboard</t>
        </is>
      </c>
      <c r="B93" s="32" t="inlineStr">
        <is>
          <t>data/table_9</t>
        </is>
      </c>
      <c r="C93" s="32" t="inlineStr">
        <is>
          <t>qvapp_ctable</t>
        </is>
      </c>
      <c r="D93" s="32" t="inlineStr"/>
      <c r="E93" s="34" t="n">
        <v>324</v>
      </c>
      <c r="F93" s="32" t="inlineStr">
        <is>
          <t>2015-05-01T18:24:24</t>
        </is>
      </c>
    </row>
    <row r="94">
      <c r="A94" s="37" t="inlineStr">
        <is>
          <t>Executive Dashboard</t>
        </is>
      </c>
      <c r="B94" s="37" t="inlineStr">
        <is>
          <t>data/table_10</t>
        </is>
      </c>
      <c r="C94" s="37" t="inlineStr">
        <is>
          <t>qvapp_ctable</t>
        </is>
      </c>
      <c r="D94" s="37" t="inlineStr"/>
      <c r="E94" s="39" t="n">
        <v>843490</v>
      </c>
      <c r="F94" s="37" t="inlineStr">
        <is>
          <t>2015-05-01T18:24:24</t>
        </is>
      </c>
    </row>
    <row r="95">
      <c r="A95" s="32" t="inlineStr">
        <is>
          <t>Executive Dashboard</t>
        </is>
      </c>
      <c r="B95" s="32" t="inlineStr">
        <is>
          <t>data/table_11</t>
        </is>
      </c>
      <c r="C95" s="32" t="inlineStr">
        <is>
          <t>qvapp_ctable</t>
        </is>
      </c>
      <c r="D95" s="32" t="inlineStr"/>
      <c r="E95" s="34" t="n">
        <v>20879</v>
      </c>
      <c r="F95" s="32" t="inlineStr">
        <is>
          <t>2015-05-01T18:24:24</t>
        </is>
      </c>
    </row>
    <row r="96">
      <c r="A96" s="37" t="inlineStr">
        <is>
          <t>Executive Dashboard</t>
        </is>
      </c>
      <c r="B96" s="37" t="inlineStr">
        <is>
          <t>data/table_12</t>
        </is>
      </c>
      <c r="C96" s="37" t="inlineStr">
        <is>
          <t>qvapp_ctable</t>
        </is>
      </c>
      <c r="D96" s="37" t="inlineStr"/>
      <c r="E96" s="39" t="n">
        <v>254</v>
      </c>
      <c r="F96" s="37" t="inlineStr">
        <is>
          <t>2015-05-01T18:24:24</t>
        </is>
      </c>
    </row>
    <row r="97">
      <c r="A97" s="32" t="inlineStr">
        <is>
          <t>Executive Dashboard</t>
        </is>
      </c>
      <c r="B97" s="32" t="inlineStr">
        <is>
          <t>data/table_13</t>
        </is>
      </c>
      <c r="C97" s="32" t="inlineStr">
        <is>
          <t>qvapp_ctable</t>
        </is>
      </c>
      <c r="D97" s="32" t="inlineStr"/>
      <c r="E97" s="34" t="n">
        <v>289</v>
      </c>
      <c r="F97" s="32" t="inlineStr">
        <is>
          <t>2015-05-01T18:24:24</t>
        </is>
      </c>
    </row>
    <row r="98">
      <c r="A98" s="37" t="inlineStr">
        <is>
          <t>Executive Dashboard</t>
        </is>
      </c>
      <c r="B98" s="37" t="inlineStr">
        <is>
          <t>data/table_14</t>
        </is>
      </c>
      <c r="C98" s="37" t="inlineStr">
        <is>
          <t>qvapp_ctable</t>
        </is>
      </c>
      <c r="D98" s="37" t="inlineStr"/>
      <c r="E98" s="39" t="n">
        <v>653</v>
      </c>
      <c r="F98" s="37" t="inlineStr">
        <is>
          <t>2015-05-01T18:24:24</t>
        </is>
      </c>
    </row>
    <row r="99">
      <c r="A99" s="32" t="inlineStr">
        <is>
          <t>Executive Dashboard</t>
        </is>
      </c>
      <c r="B99" s="32" t="inlineStr">
        <is>
          <t>data/table_15</t>
        </is>
      </c>
      <c r="C99" s="32" t="inlineStr">
        <is>
          <t>qvapp_ctable</t>
        </is>
      </c>
      <c r="D99" s="32" t="inlineStr"/>
      <c r="E99" s="34" t="n">
        <v>353</v>
      </c>
      <c r="F99" s="32" t="inlineStr">
        <is>
          <t>2015-05-01T18:24:24</t>
        </is>
      </c>
    </row>
    <row r="100">
      <c r="A100" s="37" t="inlineStr">
        <is>
          <t>Executive Dashboard</t>
        </is>
      </c>
      <c r="B100" s="37" t="inlineStr">
        <is>
          <t>data/table_16</t>
        </is>
      </c>
      <c r="C100" s="37" t="inlineStr">
        <is>
          <t>qvapp_ctable</t>
        </is>
      </c>
      <c r="D100" s="37" t="inlineStr"/>
      <c r="E100" s="39" t="n">
        <v>1515</v>
      </c>
      <c r="F100" s="37" t="inlineStr">
        <is>
          <t>2015-05-01T18:24:24</t>
        </is>
      </c>
    </row>
    <row r="101">
      <c r="A101" s="32" t="inlineStr">
        <is>
          <t>Executive Dashboard</t>
        </is>
      </c>
      <c r="B101" s="32" t="inlineStr">
        <is>
          <t>data/table_17</t>
        </is>
      </c>
      <c r="C101" s="32" t="inlineStr">
        <is>
          <t>qvapp_ctable</t>
        </is>
      </c>
      <c r="D101" s="32" t="inlineStr"/>
      <c r="E101" s="34" t="n">
        <v>274</v>
      </c>
      <c r="F101" s="32" t="inlineStr">
        <is>
          <t>2015-05-01T18:24:24</t>
        </is>
      </c>
    </row>
    <row r="102">
      <c r="A102" s="37" t="inlineStr">
        <is>
          <t>Executive Dashboard</t>
        </is>
      </c>
      <c r="B102" s="37" t="inlineStr">
        <is>
          <t>data/table_18</t>
        </is>
      </c>
      <c r="C102" s="37" t="inlineStr">
        <is>
          <t>qvapp_ctable</t>
        </is>
      </c>
      <c r="D102" s="37" t="inlineStr"/>
      <c r="E102" s="39" t="n">
        <v>497</v>
      </c>
      <c r="F102" s="37" t="inlineStr">
        <is>
          <t>2015-05-01T18:24:24</t>
        </is>
      </c>
    </row>
    <row r="103">
      <c r="A103" s="32" t="inlineStr">
        <is>
          <t>Executive Dashboard</t>
        </is>
      </c>
      <c r="B103" s="32" t="inlineStr">
        <is>
          <t>data/table_19</t>
        </is>
      </c>
      <c r="C103" s="32" t="inlineStr">
        <is>
          <t>qvapp_ctable</t>
        </is>
      </c>
      <c r="D103" s="32" t="inlineStr"/>
      <c r="E103" s="34" t="n">
        <v>1137</v>
      </c>
      <c r="F103" s="32" t="inlineStr">
        <is>
          <t>2015-05-01T18:24:24</t>
        </is>
      </c>
    </row>
    <row r="104">
      <c r="A104" s="37" t="inlineStr">
        <is>
          <t>Executive Dashboard</t>
        </is>
      </c>
      <c r="B104" s="37" t="inlineStr">
        <is>
          <t>data/table_20</t>
        </is>
      </c>
      <c r="C104" s="37" t="inlineStr">
        <is>
          <t>qvapp_ctable</t>
        </is>
      </c>
      <c r="D104" s="37" t="inlineStr"/>
      <c r="E104" s="39" t="n">
        <v>752</v>
      </c>
      <c r="F104" s="37" t="inlineStr">
        <is>
          <t>2015-05-01T18:24:24</t>
        </is>
      </c>
    </row>
    <row r="105">
      <c r="A105" s="32" t="inlineStr">
        <is>
          <t>Executive Dashboard</t>
        </is>
      </c>
      <c r="B105" s="32" t="inlineStr">
        <is>
          <t>data/table_21</t>
        </is>
      </c>
      <c r="C105" s="32" t="inlineStr">
        <is>
          <t>qvapp_ctable</t>
        </is>
      </c>
      <c r="D105" s="32" t="inlineStr"/>
      <c r="E105" s="34" t="n">
        <v>378</v>
      </c>
      <c r="F105" s="32" t="inlineStr">
        <is>
          <t>2015-05-01T18:24:24</t>
        </is>
      </c>
    </row>
    <row r="106">
      <c r="A106" s="37" t="inlineStr">
        <is>
          <t>Executive Dashboard</t>
        </is>
      </c>
      <c r="B106" s="37" t="inlineStr">
        <is>
          <t>data/table_22</t>
        </is>
      </c>
      <c r="C106" s="37" t="inlineStr">
        <is>
          <t>qvapp_ctable</t>
        </is>
      </c>
      <c r="D106" s="37" t="inlineStr"/>
      <c r="E106" s="39" t="n">
        <v>220</v>
      </c>
      <c r="F106" s="37" t="inlineStr">
        <is>
          <t>2015-05-01T18:24:24</t>
        </is>
      </c>
    </row>
    <row r="107">
      <c r="A107" s="32" t="inlineStr">
        <is>
          <t>Executive Dashboard</t>
        </is>
      </c>
      <c r="B107" s="32" t="inlineStr">
        <is>
          <t>data/table_23</t>
        </is>
      </c>
      <c r="C107" s="32" t="inlineStr">
        <is>
          <t>qvapp_ctable</t>
        </is>
      </c>
      <c r="D107" s="32" t="inlineStr"/>
      <c r="E107" s="34" t="n">
        <v>189</v>
      </c>
      <c r="F107" s="32" t="inlineStr">
        <is>
          <t>2015-05-01T18:24:24</t>
        </is>
      </c>
    </row>
    <row r="108">
      <c r="A108" s="37" t="inlineStr">
        <is>
          <t>Executive Dashboard</t>
        </is>
      </c>
      <c r="B108" s="37" t="inlineStr">
        <is>
          <t>data/field_0</t>
        </is>
      </c>
      <c r="C108" s="37" t="inlineStr">
        <is>
          <t>qvapp_cfield</t>
        </is>
      </c>
      <c r="D108" s="37" t="inlineStr"/>
      <c r="E108" s="39" t="n">
        <v>746</v>
      </c>
      <c r="F108" s="37" t="inlineStr">
        <is>
          <t>2015-05-01T18:24:24</t>
        </is>
      </c>
    </row>
    <row r="109">
      <c r="A109" s="32" t="inlineStr">
        <is>
          <t>Executive Dashboard</t>
        </is>
      </c>
      <c r="B109" s="32" t="inlineStr">
        <is>
          <t>data/field_5</t>
        </is>
      </c>
      <c r="C109" s="32" t="inlineStr">
        <is>
          <t>qvapp_cfield</t>
        </is>
      </c>
      <c r="D109" s="32" t="inlineStr"/>
      <c r="E109" s="34" t="n">
        <v>185</v>
      </c>
      <c r="F109" s="32" t="inlineStr">
        <is>
          <t>2015-05-01T18:24:24</t>
        </is>
      </c>
    </row>
    <row r="110">
      <c r="A110" s="37" t="inlineStr">
        <is>
          <t>Executive Dashboard</t>
        </is>
      </c>
      <c r="B110" s="37" t="inlineStr">
        <is>
          <t>data/field_27</t>
        </is>
      </c>
      <c r="C110" s="37" t="inlineStr">
        <is>
          <t>qvapp_cfield</t>
        </is>
      </c>
      <c r="D110" s="37" t="inlineStr"/>
      <c r="E110" s="39" t="n">
        <v>235</v>
      </c>
      <c r="F110" s="37" t="inlineStr">
        <is>
          <t>2015-05-01T18:24:24</t>
        </is>
      </c>
    </row>
    <row r="111">
      <c r="A111" s="32" t="inlineStr">
        <is>
          <t>Executive Dashboard</t>
        </is>
      </c>
      <c r="B111" s="32" t="inlineStr">
        <is>
          <t>data/field_28</t>
        </is>
      </c>
      <c r="C111" s="32" t="inlineStr">
        <is>
          <t>qvapp_cfield</t>
        </is>
      </c>
      <c r="D111" s="32" t="inlineStr"/>
      <c r="E111" s="34" t="n">
        <v>558</v>
      </c>
      <c r="F111" s="32" t="inlineStr">
        <is>
          <t>2015-05-01T18:24:24</t>
        </is>
      </c>
    </row>
    <row r="112">
      <c r="A112" s="37" t="inlineStr">
        <is>
          <t>Executive Dashboard</t>
        </is>
      </c>
      <c r="B112" s="37" t="inlineStr">
        <is>
          <t>data/field_30</t>
        </is>
      </c>
      <c r="C112" s="37" t="inlineStr">
        <is>
          <t>qvapp_cfield</t>
        </is>
      </c>
      <c r="D112" s="37" t="inlineStr"/>
      <c r="E112" s="39" t="n">
        <v>51665</v>
      </c>
      <c r="F112" s="37" t="inlineStr">
        <is>
          <t>2015-05-01T18:24:24</t>
        </is>
      </c>
    </row>
    <row r="113">
      <c r="A113" s="32" t="inlineStr">
        <is>
          <t>Executive Dashboard</t>
        </is>
      </c>
      <c r="B113" s="32" t="inlineStr">
        <is>
          <t>data/field_31</t>
        </is>
      </c>
      <c r="C113" s="32" t="inlineStr">
        <is>
          <t>qvapp_cfield</t>
        </is>
      </c>
      <c r="D113" s="32" t="inlineStr"/>
      <c r="E113" s="34" t="n">
        <v>191</v>
      </c>
      <c r="F113" s="32" t="inlineStr">
        <is>
          <t>2015-05-01T18:24:24</t>
        </is>
      </c>
    </row>
    <row r="114">
      <c r="A114" s="37" t="inlineStr">
        <is>
          <t>Executive Dashboard</t>
        </is>
      </c>
      <c r="B114" s="37" t="inlineStr">
        <is>
          <t>qvapp_allproperties</t>
        </is>
      </c>
      <c r="C114" s="37" t="inlineStr">
        <is>
          <t>AllProperties</t>
        </is>
      </c>
      <c r="D114" s="37" t="inlineStr"/>
      <c r="E114" s="39" t="n">
        <v>1077760</v>
      </c>
      <c r="F114" s="37" t="inlineStr">
        <is>
          <t>2015-11-07T21:35:26</t>
        </is>
      </c>
    </row>
    <row r="115">
      <c r="A115" s="32" t="inlineStr">
        <is>
          <t>Executive Dashboard</t>
        </is>
      </c>
      <c r="B115" s="32" t="inlineStr">
        <is>
          <t>qvapp_qaccess</t>
        </is>
      </c>
      <c r="C115" s="32" t="inlineStr">
        <is>
          <t>qvapp_data</t>
        </is>
      </c>
      <c r="D115" s="32" t="inlineStr"/>
      <c r="E115" s="34" t="n">
        <v>512</v>
      </c>
      <c r="F115" s="32" t="inlineStr">
        <is>
          <t>2015-05-21T15:35:59</t>
        </is>
      </c>
    </row>
    <row r="116">
      <c r="A116" s="37" t="inlineStr">
        <is>
          <t>Executive Dashboard</t>
        </is>
      </c>
      <c r="B116" s="37" t="inlineStr">
        <is>
          <t>qvapp_data</t>
        </is>
      </c>
      <c r="C116" s="37" t="inlineStr">
        <is>
          <t>qvapp_cheader</t>
        </is>
      </c>
      <c r="D116" s="37" t="inlineStr"/>
      <c r="E116" s="39" t="n">
        <v>6378</v>
      </c>
      <c r="F116" s="37" t="inlineStr">
        <is>
          <t>2015-05-21T15:29:32</t>
        </is>
      </c>
    </row>
    <row r="117">
      <c r="A117" s="32" t="inlineStr">
        <is>
          <t>Executive Dashboard</t>
        </is>
      </c>
      <c r="B117" s="32" t="inlineStr">
        <is>
          <t>EzubBQ</t>
        </is>
      </c>
      <c r="C117" s="32" t="inlineStr">
        <is>
          <t>GenericDimensionProperties</t>
        </is>
      </c>
      <c r="D117" s="32" t="inlineStr"/>
      <c r="E117" s="34" t="n">
        <v>2048</v>
      </c>
      <c r="F117" s="32" t="inlineStr">
        <is>
          <t>2015-11-07T21:35:26</t>
        </is>
      </c>
    </row>
    <row r="118">
      <c r="A118" s="37" t="inlineStr">
        <is>
          <t>Executive Dashboard</t>
        </is>
      </c>
      <c r="B118" s="37" t="inlineStr">
        <is>
          <t>NPPsJt</t>
        </is>
      </c>
      <c r="C118" s="37" t="inlineStr">
        <is>
          <t>GenericMeasureProperties</t>
        </is>
      </c>
      <c r="D118" s="37" t="inlineStr"/>
      <c r="E118" s="39" t="n">
        <v>512</v>
      </c>
      <c r="F118" s="37" t="inlineStr">
        <is>
          <t>2015-11-07T21:35:26</t>
        </is>
      </c>
    </row>
    <row r="119">
      <c r="A119" s="32" t="inlineStr">
        <is>
          <t>Executive Dashboard</t>
        </is>
      </c>
      <c r="B119" s="32" t="inlineStr">
        <is>
          <t>SLJUwQj</t>
        </is>
      </c>
      <c r="C119" s="32" t="inlineStr">
        <is>
          <t>GenericMeasureProperties</t>
        </is>
      </c>
      <c r="D119" s="32" t="inlineStr"/>
      <c r="E119" s="34" t="n">
        <v>512</v>
      </c>
      <c r="F119" s="32" t="inlineStr">
        <is>
          <t>2015-11-07T21:35:26</t>
        </is>
      </c>
    </row>
    <row r="120">
      <c r="A120" s="37" t="inlineStr">
        <is>
          <t>Executive Dashboard</t>
        </is>
      </c>
      <c r="B120" s="37" t="inlineStr">
        <is>
          <t>SmDXrz</t>
        </is>
      </c>
      <c r="C120" s="37" t="inlineStr">
        <is>
          <t>GenericBookmarkEntry</t>
        </is>
      </c>
      <c r="D120" s="37" t="inlineStr"/>
      <c r="E120" s="39" t="n">
        <v>675</v>
      </c>
      <c r="F120" s="37" t="inlineStr">
        <is>
          <t>2015-11-07T21:35:26</t>
        </is>
      </c>
    </row>
    <row r="121">
      <c r="A121" s="32" t="inlineStr">
        <is>
          <t>Executive Dashboard</t>
        </is>
      </c>
      <c r="B121" s="32" t="inlineStr">
        <is>
          <t>XFhtUb</t>
        </is>
      </c>
      <c r="C121" s="32" t="inlineStr">
        <is>
          <t>GenericDimensionProperties</t>
        </is>
      </c>
      <c r="D121" s="32" t="inlineStr"/>
      <c r="E121" s="34" t="n">
        <v>2048</v>
      </c>
      <c r="F121" s="32" t="inlineStr">
        <is>
          <t>2015-11-07T21:35:26</t>
        </is>
      </c>
    </row>
    <row r="122">
      <c r="A122" s="37" t="inlineStr">
        <is>
          <t>Executive Dashboard</t>
        </is>
      </c>
      <c r="B122" s="37" t="inlineStr">
        <is>
          <t>mwwzJ</t>
        </is>
      </c>
      <c r="C122" s="37" t="inlineStr">
        <is>
          <t>GenericMeasureProperties</t>
        </is>
      </c>
      <c r="D122" s="37" t="inlineStr"/>
      <c r="E122" s="39" t="n">
        <v>512</v>
      </c>
      <c r="F122" s="37" t="inlineStr">
        <is>
          <t>2015-11-07T21:35:26</t>
        </is>
      </c>
    </row>
    <row r="123">
      <c r="A123" s="32" t="inlineStr">
        <is>
          <t>Executive Dashboard</t>
        </is>
      </c>
      <c r="B123" s="32" t="inlineStr">
        <is>
          <t>tmaqpf</t>
        </is>
      </c>
      <c r="C123" s="32" t="inlineStr">
        <is>
          <t>GenericAppObjectEntry</t>
        </is>
      </c>
      <c r="D123" s="32" t="inlineStr"/>
      <c r="E123" s="34" t="n">
        <v>975</v>
      </c>
      <c r="F123" s="32" t="inlineStr">
        <is>
          <t>2015-11-07T21:35:26</t>
        </is>
      </c>
    </row>
    <row r="124">
      <c r="A124" s="37" t="inlineStr">
        <is>
          <t>Executive Dashboard</t>
        </is>
      </c>
      <c r="B124" s="37" t="inlineStr">
        <is>
          <t>qvapp_appscript</t>
        </is>
      </c>
      <c r="C124" s="37" t="inlineStr">
        <is>
          <t>AppScriptObject</t>
        </is>
      </c>
      <c r="D124" s="37" t="inlineStr"/>
      <c r="E124" s="39" t="n">
        <v>2048</v>
      </c>
      <c r="F124" s="37" t="inlineStr">
        <is>
          <t>2015-05-01T18:24:24</t>
        </is>
      </c>
    </row>
    <row r="125">
      <c r="A125" s="32" t="inlineStr">
        <is>
          <t>Executive Dashboard</t>
        </is>
      </c>
      <c r="B125" s="32" t="inlineStr">
        <is>
          <t>ANYTpUm</t>
        </is>
      </c>
      <c r="C125" s="32" t="inlineStr">
        <is>
          <t>GenericDimensionProperties</t>
        </is>
      </c>
      <c r="D125" s="32" t="inlineStr"/>
      <c r="E125" s="34" t="n">
        <v>2048</v>
      </c>
      <c r="F125" s="32" t="inlineStr">
        <is>
          <t>2015-11-07T21:35:26</t>
        </is>
      </c>
    </row>
    <row r="126">
      <c r="A126" s="37" t="inlineStr">
        <is>
          <t>Executive Dashboard</t>
        </is>
      </c>
      <c r="B126" s="37" t="inlineStr">
        <is>
          <t>gG01</t>
        </is>
      </c>
      <c r="C126" s="37" t="inlineStr">
        <is>
          <t>GenericBookmarkEntry</t>
        </is>
      </c>
      <c r="D126" s="37" t="inlineStr"/>
      <c r="E126" s="39" t="n">
        <v>3072</v>
      </c>
      <c r="F126" s="37" t="inlineStr">
        <is>
          <t>2015-11-07T21:35:26</t>
        </is>
      </c>
    </row>
    <row r="127">
      <c r="A127" s="32" t="inlineStr">
        <is>
          <t>Executive Dashboard</t>
        </is>
      </c>
      <c r="B127" s="32" t="inlineStr">
        <is>
          <t>bUft</t>
        </is>
      </c>
      <c r="C127" s="32" t="inlineStr">
        <is>
          <t>GenericMeasureProperties</t>
        </is>
      </c>
      <c r="D127" s="32" t="inlineStr"/>
      <c r="E127" s="34" t="n">
        <v>512</v>
      </c>
      <c r="F127" s="32" t="inlineStr">
        <is>
          <t>2015-11-07T21:35:26</t>
        </is>
      </c>
    </row>
    <row r="128">
      <c r="A128" s="37" t="inlineStr">
        <is>
          <t>Executive Dashboard</t>
        </is>
      </c>
      <c r="B128" s="37" t="inlineStr">
        <is>
          <t>pmresb</t>
        </is>
      </c>
      <c r="C128" s="37" t="inlineStr">
        <is>
          <t>GenericDimensionProperties</t>
        </is>
      </c>
      <c r="D128" s="37" t="inlineStr"/>
      <c r="E128" s="39" t="n">
        <v>2048</v>
      </c>
      <c r="F128" s="37" t="inlineStr">
        <is>
          <t>2015-11-07T21:35:26</t>
        </is>
      </c>
    </row>
    <row r="129">
      <c r="A129" s="32" t="inlineStr">
        <is>
          <t>Executive Dashboard</t>
        </is>
      </c>
      <c r="B129" s="32" t="inlineStr">
        <is>
          <t>napvtJ</t>
        </is>
      </c>
      <c r="C129" s="32" t="inlineStr">
        <is>
          <t>GenericMeasureProperties</t>
        </is>
      </c>
      <c r="D129" s="32" t="inlineStr"/>
      <c r="E129" s="34" t="n">
        <v>512</v>
      </c>
      <c r="F129" s="32" t="inlineStr">
        <is>
          <t>2015-11-07T21:35:26</t>
        </is>
      </c>
    </row>
    <row r="130">
      <c r="A130" s="37" t="inlineStr">
        <is>
          <t>Executive Dashboard</t>
        </is>
      </c>
      <c r="B130" s="37" t="inlineStr">
        <is>
          <t>rAWLLGj</t>
        </is>
      </c>
      <c r="C130" s="37" t="inlineStr">
        <is>
          <t>GenericDimensionProperties</t>
        </is>
      </c>
      <c r="D130" s="37" t="inlineStr"/>
      <c r="E130" s="39" t="n">
        <v>2048</v>
      </c>
      <c r="F130" s="37" t="inlineStr">
        <is>
          <t>2015-11-07T21:35:26</t>
        </is>
      </c>
    </row>
    <row r="131">
      <c r="A131" s="32" t="inlineStr">
        <is>
          <t>Executive Dashboard</t>
        </is>
      </c>
      <c r="B131" s="32" t="inlineStr">
        <is>
          <t>PjEUh</t>
        </is>
      </c>
      <c r="C131" s="32" t="inlineStr">
        <is>
          <t>GenericDimensionProperties</t>
        </is>
      </c>
      <c r="D131" s="32" t="inlineStr"/>
      <c r="E131" s="34" t="n">
        <v>2048</v>
      </c>
      <c r="F131" s="32" t="inlineStr">
        <is>
          <t>2015-11-07T21:35:26</t>
        </is>
      </c>
    </row>
    <row r="132">
      <c r="A132" s="37" t="inlineStr">
        <is>
          <t>Executive Dashboard</t>
        </is>
      </c>
      <c r="B132" s="37" t="inlineStr">
        <is>
          <t>jpcvPf</t>
        </is>
      </c>
      <c r="C132" s="37" t="inlineStr">
        <is>
          <t>GenericMeasureProperties</t>
        </is>
      </c>
      <c r="D132" s="37" t="inlineStr"/>
      <c r="E132" s="39" t="n">
        <v>512</v>
      </c>
      <c r="F132" s="37" t="inlineStr">
        <is>
          <t>2015-11-07T21:35:26</t>
        </is>
      </c>
    </row>
    <row r="133">
      <c r="A133" s="32" t="inlineStr">
        <is>
          <t>Executive Dashboard</t>
        </is>
      </c>
      <c r="B133" s="32" t="inlineStr">
        <is>
          <t>nrxFRV</t>
        </is>
      </c>
      <c r="C133" s="32" t="inlineStr">
        <is>
          <t>GenericDimensionProperties</t>
        </is>
      </c>
      <c r="D133" s="32" t="inlineStr"/>
      <c r="E133" s="34" t="n">
        <v>2048</v>
      </c>
      <c r="F133" s="32" t="inlineStr">
        <is>
          <t>2015-11-07T21:35:26</t>
        </is>
      </c>
    </row>
    <row r="134">
      <c r="A134" s="37" t="inlineStr">
        <is>
          <t>Executive Dashboard</t>
        </is>
      </c>
      <c r="B134" s="37" t="inlineStr">
        <is>
          <t>jgxpDbw</t>
        </is>
      </c>
      <c r="C134" s="37" t="inlineStr">
        <is>
          <t>GenericDimensionProperties</t>
        </is>
      </c>
      <c r="D134" s="37" t="inlineStr"/>
      <c r="E134" s="39" t="n">
        <v>2048</v>
      </c>
      <c r="F134" s="37" t="inlineStr">
        <is>
          <t>2015-11-07T21:35:26</t>
        </is>
      </c>
    </row>
    <row r="135">
      <c r="A135" s="32" t="inlineStr">
        <is>
          <t>Executive Dashboard</t>
        </is>
      </c>
      <c r="B135" s="32" t="inlineStr">
        <is>
          <t>FDPQYx</t>
        </is>
      </c>
      <c r="C135" s="32" t="inlineStr">
        <is>
          <t>GenericMeasureProperties</t>
        </is>
      </c>
      <c r="D135" s="32" t="inlineStr"/>
      <c r="E135" s="34" t="n">
        <v>512</v>
      </c>
      <c r="F135" s="32" t="inlineStr">
        <is>
          <t>2015-11-07T21:35:26</t>
        </is>
      </c>
    </row>
    <row r="136">
      <c r="A136" s="37" t="inlineStr">
        <is>
          <t>Executive Dashboard</t>
        </is>
      </c>
      <c r="B136" s="37" t="inlineStr">
        <is>
          <t>QTzpe</t>
        </is>
      </c>
      <c r="C136" s="37" t="inlineStr">
        <is>
          <t>GenericBookmarkEntry</t>
        </is>
      </c>
      <c r="D136" s="37" t="inlineStr"/>
      <c r="E136" s="39" t="n">
        <v>2560</v>
      </c>
      <c r="F136" s="37" t="inlineStr">
        <is>
          <t>2015-11-07T21:35:26</t>
        </is>
      </c>
    </row>
    <row r="137">
      <c r="A137" s="32" t="inlineStr">
        <is>
          <t>Executive Dashboard</t>
        </is>
      </c>
      <c r="B137" s="32" t="inlineStr">
        <is>
          <t>HnEfUp</t>
        </is>
      </c>
      <c r="C137" s="32" t="inlineStr">
        <is>
          <t>GenericDimensionProperties</t>
        </is>
      </c>
      <c r="D137" s="32" t="inlineStr"/>
      <c r="E137" s="34" t="n">
        <v>2048</v>
      </c>
      <c r="F137" s="32" t="inlineStr">
        <is>
          <t>2015-11-07T21:35:26</t>
        </is>
      </c>
    </row>
    <row r="138">
      <c r="A138" s="37" t="inlineStr">
        <is>
          <t>Executive Dashboard</t>
        </is>
      </c>
      <c r="B138" s="37" t="inlineStr">
        <is>
          <t>w</t>
        </is>
      </c>
      <c r="C138" s="37" t="inlineStr">
        <is>
          <t>GenericMeasureProperties</t>
        </is>
      </c>
      <c r="D138" s="37" t="inlineStr"/>
      <c r="E138" s="39" t="n">
        <v>512</v>
      </c>
      <c r="F138" s="37" t="inlineStr">
        <is>
          <t>2015-11-07T21:35:26</t>
        </is>
      </c>
    </row>
    <row r="139">
      <c r="A139" s="32" t="inlineStr">
        <is>
          <t>Executive Dashboard</t>
        </is>
      </c>
      <c r="B139" s="32" t="inlineStr">
        <is>
          <t>sgeyqn</t>
        </is>
      </c>
      <c r="C139" s="32" t="inlineStr">
        <is>
          <t>GenericMeasureProperties</t>
        </is>
      </c>
      <c r="D139" s="32" t="inlineStr"/>
      <c r="E139" s="34" t="n">
        <v>512</v>
      </c>
      <c r="F139" s="32" t="inlineStr">
        <is>
          <t>2015-11-07T21:35:26</t>
        </is>
      </c>
    </row>
    <row r="140">
      <c r="A140" s="37" t="inlineStr">
        <is>
          <t>Executive Dashboard</t>
        </is>
      </c>
      <c r="B140" s="37" t="inlineStr">
        <is>
          <t>RRcCqu</t>
        </is>
      </c>
      <c r="C140" s="37" t="inlineStr">
        <is>
          <t>GenericMeasureProperties</t>
        </is>
      </c>
      <c r="D140" s="37" t="inlineStr"/>
      <c r="E140" s="39" t="n">
        <v>512</v>
      </c>
      <c r="F140" s="37" t="inlineStr">
        <is>
          <t>2015-11-07T21:35:26</t>
        </is>
      </c>
    </row>
    <row r="141">
      <c r="A141" s="32" t="inlineStr">
        <is>
          <t>Executive Dashboard</t>
        </is>
      </c>
      <c r="B141" s="32" t="inlineStr">
        <is>
          <t>PqgqBSe</t>
        </is>
      </c>
      <c r="C141" s="32" t="inlineStr">
        <is>
          <t>GenericBookmarkEntry</t>
        </is>
      </c>
      <c r="D141" s="32" t="inlineStr"/>
      <c r="E141" s="34" t="n">
        <v>2048</v>
      </c>
      <c r="F141" s="32" t="inlineStr">
        <is>
          <t>2015-11-07T21:35:26</t>
        </is>
      </c>
    </row>
    <row r="142">
      <c r="A142" s="37" t="inlineStr">
        <is>
          <t>Executive Dashboard</t>
        </is>
      </c>
      <c r="B142" s="37" t="inlineStr">
        <is>
          <t>jxuDwx</t>
        </is>
      </c>
      <c r="C142" s="37" t="inlineStr">
        <is>
          <t>GenericDimensionProperties</t>
        </is>
      </c>
      <c r="D142" s="37" t="inlineStr"/>
      <c r="E142" s="39" t="n">
        <v>2060</v>
      </c>
      <c r="F142" s="37" t="inlineStr">
        <is>
          <t>2015-11-07T21:35:26</t>
        </is>
      </c>
    </row>
    <row r="143">
      <c r="A143" s="32" t="inlineStr">
        <is>
          <t>Executive Dashboard</t>
        </is>
      </c>
      <c r="B143" s="32" t="inlineStr">
        <is>
          <t>EQ01</t>
        </is>
      </c>
      <c r="C143" s="32" t="inlineStr">
        <is>
          <t>GenericBookmarkEntry</t>
        </is>
      </c>
      <c r="D143" s="32" t="inlineStr"/>
      <c r="E143" s="34" t="n">
        <v>3072</v>
      </c>
      <c r="F143" s="32" t="inlineStr">
        <is>
          <t>2015-11-07T21:35:26</t>
        </is>
      </c>
    </row>
    <row r="144">
      <c r="A144" s="37" t="inlineStr">
        <is>
          <t>Executive Dashboard</t>
        </is>
      </c>
      <c r="B144" s="37" t="inlineStr">
        <is>
          <t>DcuPcq</t>
        </is>
      </c>
      <c r="C144" s="37" t="inlineStr">
        <is>
          <t>GenericDimensionProperties</t>
        </is>
      </c>
      <c r="D144" s="37" t="inlineStr"/>
      <c r="E144" s="39" t="n">
        <v>2048</v>
      </c>
      <c r="F144" s="37" t="inlineStr">
        <is>
          <t>2015-11-07T21:35:26</t>
        </is>
      </c>
    </row>
    <row r="145">
      <c r="A145" s="32" t="inlineStr">
        <is>
          <t>Executive Dashboard</t>
        </is>
      </c>
      <c r="B145" s="32" t="inlineStr">
        <is>
          <t>maUepV</t>
        </is>
      </c>
      <c r="C145" s="32" t="inlineStr">
        <is>
          <t>GenericBookmarkEntry</t>
        </is>
      </c>
      <c r="D145" s="32" t="inlineStr"/>
      <c r="E145" s="34" t="n">
        <v>4096</v>
      </c>
      <c r="F145" s="32" t="inlineStr">
        <is>
          <t>2015-11-07T21:35:26</t>
        </is>
      </c>
    </row>
    <row r="146">
      <c r="A146" s="37" t="inlineStr">
        <is>
          <t>Executive Dashboard</t>
        </is>
      </c>
      <c r="B146" s="37" t="inlineStr">
        <is>
          <t>PfKsJK</t>
        </is>
      </c>
      <c r="C146" s="37" t="inlineStr">
        <is>
          <t>GenericAppObjectEntry</t>
        </is>
      </c>
      <c r="D146" s="37" t="inlineStr"/>
      <c r="E146" s="39" t="n">
        <v>3584</v>
      </c>
      <c r="F146" s="37" t="inlineStr">
        <is>
          <t>2015-11-07T21:35:26</t>
        </is>
      </c>
    </row>
    <row r="147">
      <c r="A147" s="32" t="inlineStr">
        <is>
          <t>Executive Dashboard</t>
        </is>
      </c>
      <c r="B147" s="32" t="inlineStr">
        <is>
          <t>jnjgaPY</t>
        </is>
      </c>
      <c r="C147" s="32" t="inlineStr">
        <is>
          <t>GenericMeasureProperties</t>
        </is>
      </c>
      <c r="D147" s="32" t="inlineStr"/>
      <c r="E147" s="34" t="n">
        <v>512</v>
      </c>
      <c r="F147" s="32" t="inlineStr">
        <is>
          <t>2015-11-07T21:35:26</t>
        </is>
      </c>
    </row>
    <row r="148">
      <c r="A148" s="37" t="inlineStr">
        <is>
          <t>Executive Dashboard</t>
        </is>
      </c>
      <c r="B148" s="37" t="inlineStr">
        <is>
          <t>pVTm</t>
        </is>
      </c>
      <c r="C148" s="37" t="inlineStr">
        <is>
          <t>GenericMeasureProperties</t>
        </is>
      </c>
      <c r="D148" s="37" t="inlineStr"/>
      <c r="E148" s="39" t="n">
        <v>512</v>
      </c>
      <c r="F148" s="37" t="inlineStr">
        <is>
          <t>2015-11-07T21:35:26</t>
        </is>
      </c>
    </row>
    <row r="149">
      <c r="A149" s="32" t="inlineStr">
        <is>
          <t>Executive Dashboard</t>
        </is>
      </c>
      <c r="B149" s="32" t="inlineStr">
        <is>
          <t>YgtM</t>
        </is>
      </c>
      <c r="C149" s="32" t="inlineStr">
        <is>
          <t>GenericMeasureProperties</t>
        </is>
      </c>
      <c r="D149" s="32" t="inlineStr"/>
      <c r="E149" s="34" t="n">
        <v>512</v>
      </c>
      <c r="F149" s="32" t="inlineStr">
        <is>
          <t>2015-11-07T21:35:26</t>
        </is>
      </c>
    </row>
    <row r="150">
      <c r="A150" s="37" t="inlineStr">
        <is>
          <t>Executive Dashboard</t>
        </is>
      </c>
      <c r="B150" s="37" t="inlineStr">
        <is>
          <t>MpPJDAW</t>
        </is>
      </c>
      <c r="C150" s="37" t="inlineStr">
        <is>
          <t>GenericBookmarkEntry</t>
        </is>
      </c>
      <c r="D150" s="37" t="inlineStr"/>
      <c r="E150" s="39" t="n">
        <v>2560</v>
      </c>
      <c r="F150" s="37" t="inlineStr">
        <is>
          <t>2015-11-07T21:35:26</t>
        </is>
      </c>
    </row>
    <row r="151">
      <c r="A151" s="32" t="inlineStr">
        <is>
          <t>Executive Dashboard</t>
        </is>
      </c>
      <c r="B151" s="32" t="inlineStr">
        <is>
          <t>JZMrdb</t>
        </is>
      </c>
      <c r="C151" s="32" t="inlineStr">
        <is>
          <t>GenericAppObjectEntry</t>
        </is>
      </c>
      <c r="D151" s="32" t="inlineStr"/>
      <c r="E151" s="34" t="n">
        <v>994</v>
      </c>
      <c r="F151" s="32" t="inlineStr">
        <is>
          <t>2015-11-07T21:35:26</t>
        </is>
      </c>
    </row>
    <row r="152">
      <c r="A152" s="37" t="inlineStr">
        <is>
          <t>Executive Dashboard</t>
        </is>
      </c>
      <c r="B152" s="37" t="inlineStr">
        <is>
          <t>STSDYR</t>
        </is>
      </c>
      <c r="C152" s="37" t="inlineStr">
        <is>
          <t>GenericMeasureProperties</t>
        </is>
      </c>
      <c r="D152" s="37" t="inlineStr"/>
      <c r="E152" s="39" t="n">
        <v>512</v>
      </c>
      <c r="F152" s="37" t="inlineStr">
        <is>
          <t>2015-11-07T21:35:26</t>
        </is>
      </c>
    </row>
    <row r="153">
      <c r="A153" s="32" t="inlineStr">
        <is>
          <t>Executive Dashboard</t>
        </is>
      </c>
      <c r="B153" s="32" t="inlineStr">
        <is>
          <t>KdPhAt</t>
        </is>
      </c>
      <c r="C153" s="32" t="inlineStr">
        <is>
          <t>GenericMeasureProperties</t>
        </is>
      </c>
      <c r="D153" s="32" t="inlineStr"/>
      <c r="E153" s="34" t="n">
        <v>512</v>
      </c>
      <c r="F153" s="32" t="inlineStr">
        <is>
          <t>2015-11-07T21:35:26</t>
        </is>
      </c>
    </row>
    <row r="154">
      <c r="A154" s="37" t="inlineStr">
        <is>
          <t>Executive Dashboard</t>
        </is>
      </c>
      <c r="B154" s="37" t="inlineStr">
        <is>
          <t>BHTXyNM</t>
        </is>
      </c>
      <c r="C154" s="37" t="inlineStr">
        <is>
          <t>GenericAppObjectEntry</t>
        </is>
      </c>
      <c r="D154" s="37" t="inlineStr"/>
      <c r="E154" s="39" t="n">
        <v>981</v>
      </c>
      <c r="F154" s="37" t="inlineStr">
        <is>
          <t>2015-11-07T21:35:26</t>
        </is>
      </c>
    </row>
    <row r="155">
      <c r="A155" s="32" t="inlineStr">
        <is>
          <t>Executive Dashboard</t>
        </is>
      </c>
      <c r="B155" s="32" t="inlineStr">
        <is>
          <t>VpUAq</t>
        </is>
      </c>
      <c r="C155" s="32" t="inlineStr">
        <is>
          <t>GenericBookmarkEntry</t>
        </is>
      </c>
      <c r="D155" s="32" t="inlineStr"/>
      <c r="E155" s="34" t="n">
        <v>1536</v>
      </c>
      <c r="F155" s="32" t="inlineStr">
        <is>
          <t>2015-11-07T21:35:26</t>
        </is>
      </c>
    </row>
    <row r="156">
      <c r="A156" s="37" t="inlineStr">
        <is>
          <t>Executive Dashboard</t>
        </is>
      </c>
      <c r="B156" s="37" t="inlineStr">
        <is>
          <t>vLRMZz</t>
        </is>
      </c>
      <c r="C156" s="37" t="inlineStr">
        <is>
          <t>GenericMeasureProperties</t>
        </is>
      </c>
      <c r="D156" s="37" t="inlineStr"/>
      <c r="E156" s="39" t="n">
        <v>512</v>
      </c>
      <c r="F156" s="37" t="inlineStr">
        <is>
          <t>2015-11-07T21:35:26</t>
        </is>
      </c>
    </row>
    <row r="157">
      <c r="A157" s="32" t="inlineStr">
        <is>
          <t>Executive Dashboard</t>
        </is>
      </c>
      <c r="B157" s="32" t="inlineStr">
        <is>
          <t>DBUzjm</t>
        </is>
      </c>
      <c r="C157" s="32" t="inlineStr">
        <is>
          <t>GenericMeasureProperties</t>
        </is>
      </c>
      <c r="D157" s="32" t="inlineStr"/>
      <c r="E157" s="34" t="n">
        <v>512</v>
      </c>
      <c r="F157" s="32" t="inlineStr">
        <is>
          <t>2015-11-07T21:35:26</t>
        </is>
      </c>
    </row>
    <row r="158">
      <c r="A158" s="37" t="inlineStr">
        <is>
          <t>Executive Dashboard</t>
        </is>
      </c>
      <c r="B158" s="37" t="inlineStr">
        <is>
          <t>pWej</t>
        </is>
      </c>
      <c r="C158" s="37" t="inlineStr">
        <is>
          <t>GenericMeasureProperties</t>
        </is>
      </c>
      <c r="D158" s="37" t="inlineStr"/>
      <c r="E158" s="39" t="n">
        <v>512</v>
      </c>
      <c r="F158" s="37" t="inlineStr">
        <is>
          <t>2015-11-07T21:35:26</t>
        </is>
      </c>
    </row>
    <row r="159">
      <c r="A159" s="32" t="inlineStr">
        <is>
          <t>Executive Dashboard</t>
        </is>
      </c>
      <c r="B159" s="32" t="inlineStr">
        <is>
          <t>bAxxYfh</t>
        </is>
      </c>
      <c r="C159" s="32" t="inlineStr">
        <is>
          <t>GenericMeasureProperties</t>
        </is>
      </c>
      <c r="D159" s="32" t="inlineStr"/>
      <c r="E159" s="34" t="n">
        <v>512</v>
      </c>
      <c r="F159" s="32" t="inlineStr">
        <is>
          <t>2015-11-07T21:35:26</t>
        </is>
      </c>
    </row>
    <row r="160">
      <c r="A160" s="37" t="inlineStr">
        <is>
          <t>Executive Dashboard</t>
        </is>
      </c>
      <c r="B160" s="37" t="inlineStr">
        <is>
          <t>aLVsP</t>
        </is>
      </c>
      <c r="C160" s="37" t="inlineStr">
        <is>
          <t>GenericDimensionProperties</t>
        </is>
      </c>
      <c r="D160" s="37" t="inlineStr"/>
      <c r="E160" s="39" t="n">
        <v>2048</v>
      </c>
      <c r="F160" s="37" t="inlineStr">
        <is>
          <t>2015-11-07T21:35:26</t>
        </is>
      </c>
    </row>
    <row r="161">
      <c r="A161" s="32" t="inlineStr">
        <is>
          <t>Executive Dashboard</t>
        </is>
      </c>
      <c r="B161" s="32" t="inlineStr">
        <is>
          <t>aajsC</t>
        </is>
      </c>
      <c r="C161" s="32" t="inlineStr">
        <is>
          <t>GenericMeasureProperties</t>
        </is>
      </c>
      <c r="D161" s="32" t="inlineStr"/>
      <c r="E161" s="34" t="n">
        <v>512</v>
      </c>
      <c r="F161" s="32" t="inlineStr">
        <is>
          <t>2015-11-07T21:35:26</t>
        </is>
      </c>
    </row>
    <row r="162">
      <c r="A162" s="37" t="inlineStr">
        <is>
          <t>Executive Dashboard</t>
        </is>
      </c>
      <c r="B162" s="37" t="inlineStr">
        <is>
          <t>Vp01</t>
        </is>
      </c>
      <c r="C162" s="37" t="inlineStr">
        <is>
          <t>GenericBookmarkEntry</t>
        </is>
      </c>
      <c r="D162" s="37" t="inlineStr"/>
      <c r="E162" s="39" t="n">
        <v>1536</v>
      </c>
      <c r="F162" s="37" t="inlineStr">
        <is>
          <t>2015-11-07T21:35:26</t>
        </is>
      </c>
    </row>
    <row r="163">
      <c r="A163" s="32" t="inlineStr">
        <is>
          <t>Executive Dashboard</t>
        </is>
      </c>
      <c r="B163" s="32" t="inlineStr">
        <is>
          <t>ML01</t>
        </is>
      </c>
      <c r="C163" s="32" t="inlineStr">
        <is>
          <t>GenericBookmarkEntry</t>
        </is>
      </c>
      <c r="D163" s="32" t="inlineStr"/>
      <c r="E163" s="34" t="n">
        <v>2560</v>
      </c>
      <c r="F163" s="32" t="inlineStr">
        <is>
          <t>2015-11-07T21:35:26</t>
        </is>
      </c>
    </row>
    <row r="164">
      <c r="A164" s="37" t="inlineStr">
        <is>
          <t>Executive Dashboard</t>
        </is>
      </c>
      <c r="B164" s="37" t="inlineStr">
        <is>
          <t>pcZcGjn</t>
        </is>
      </c>
      <c r="C164" s="37" t="inlineStr">
        <is>
          <t>GenericDimensionProperties</t>
        </is>
      </c>
      <c r="D164" s="37" t="inlineStr"/>
      <c r="E164" s="39" t="n">
        <v>3584</v>
      </c>
      <c r="F164" s="37" t="inlineStr">
        <is>
          <t>2015-11-07T21:35:26</t>
        </is>
      </c>
    </row>
    <row r="165">
      <c r="A165" s="32" t="inlineStr">
        <is>
          <t>Executive Dashboard</t>
        </is>
      </c>
      <c r="B165" s="32" t="inlineStr">
        <is>
          <t>pDKRhr</t>
        </is>
      </c>
      <c r="C165" s="32" t="inlineStr">
        <is>
          <t>GenericAppObjectEntry</t>
        </is>
      </c>
      <c r="D165" s="32" t="inlineStr"/>
      <c r="E165" s="34" t="n">
        <v>1168</v>
      </c>
      <c r="F165" s="32" t="inlineStr">
        <is>
          <t>2015-11-07T21:35:26</t>
        </is>
      </c>
    </row>
    <row r="166">
      <c r="A166" s="37" t="inlineStr">
        <is>
          <t>Executive Dashboard</t>
        </is>
      </c>
      <c r="B166" s="37" t="inlineStr">
        <is>
          <t>TaukZtb</t>
        </is>
      </c>
      <c r="C166" s="37" t="inlineStr">
        <is>
          <t>GenericBookmarkEntry</t>
        </is>
      </c>
      <c r="D166" s="37" t="inlineStr"/>
      <c r="E166" s="39" t="n">
        <v>2048</v>
      </c>
      <c r="F166" s="37" t="inlineStr">
        <is>
          <t>2015-11-07T21:35:26</t>
        </is>
      </c>
    </row>
    <row r="167">
      <c r="A167" s="32" t="inlineStr">
        <is>
          <t>Executive Dashboard</t>
        </is>
      </c>
      <c r="B167" s="32" t="inlineStr">
        <is>
          <t>djTj</t>
        </is>
      </c>
      <c r="C167" s="32" t="inlineStr">
        <is>
          <t>GenericMeasureProperties</t>
        </is>
      </c>
      <c r="D167" s="32" t="inlineStr"/>
      <c r="E167" s="34" t="n">
        <v>512</v>
      </c>
      <c r="F167" s="32" t="inlineStr">
        <is>
          <t>2015-11-07T21:35:26</t>
        </is>
      </c>
    </row>
    <row r="168">
      <c r="A168" s="37" t="inlineStr">
        <is>
          <t>Executive Dashboard</t>
        </is>
      </c>
      <c r="B168" s="37" t="inlineStr">
        <is>
          <t>uFjMpUZ</t>
        </is>
      </c>
      <c r="C168" s="37" t="inlineStr">
        <is>
          <t>GenericBookmarkEntry</t>
        </is>
      </c>
      <c r="D168" s="37" t="inlineStr"/>
      <c r="E168" s="39" t="n">
        <v>680</v>
      </c>
      <c r="F168" s="37" t="inlineStr">
        <is>
          <t>2015-11-07T21:35:26</t>
        </is>
      </c>
    </row>
    <row r="169">
      <c r="A169" s="32" t="inlineStr">
        <is>
          <t>Executive Dashboard</t>
        </is>
      </c>
      <c r="B169" s="32" t="inlineStr">
        <is>
          <t>JsCeVm</t>
        </is>
      </c>
      <c r="C169" s="32" t="inlineStr">
        <is>
          <t>GenericAppObjectEntry</t>
        </is>
      </c>
      <c r="D169" s="32" t="inlineStr"/>
      <c r="E169" s="34" t="n">
        <v>2560</v>
      </c>
      <c r="F169" s="32" t="inlineStr">
        <is>
          <t>2015-11-07T21:35:26</t>
        </is>
      </c>
    </row>
    <row r="170">
      <c r="A170" s="37" t="inlineStr">
        <is>
          <t>Executive Dashboard</t>
        </is>
      </c>
      <c r="B170" s="37" t="inlineStr">
        <is>
          <t>FDJPm</t>
        </is>
      </c>
      <c r="C170" s="37" t="inlineStr">
        <is>
          <t>GenericAppObjectEntry</t>
        </is>
      </c>
      <c r="D170" s="37" t="inlineStr"/>
      <c r="E170" s="39" t="n">
        <v>971</v>
      </c>
      <c r="F170" s="37" t="inlineStr">
        <is>
          <t>2015-11-07T21:35:26</t>
        </is>
      </c>
    </row>
    <row r="171">
      <c r="A171" s="32" t="inlineStr">
        <is>
          <t>Executive Dashboard</t>
        </is>
      </c>
      <c r="B171" s="32" t="inlineStr">
        <is>
          <t>MspLjZ</t>
        </is>
      </c>
      <c r="C171" s="32" t="inlineStr">
        <is>
          <t>GenericMeasureProperties</t>
        </is>
      </c>
      <c r="D171" s="32" t="inlineStr"/>
      <c r="E171" s="34" t="n">
        <v>512</v>
      </c>
      <c r="F171" s="32" t="inlineStr">
        <is>
          <t>2015-11-07T21:35:26</t>
        </is>
      </c>
    </row>
    <row r="172">
      <c r="A172" s="37" t="inlineStr">
        <is>
          <t>Executive Dashboard</t>
        </is>
      </c>
      <c r="B172" s="37" t="inlineStr">
        <is>
          <t>LSRByY</t>
        </is>
      </c>
      <c r="C172" s="37" t="inlineStr">
        <is>
          <t>GenericMeasureProperties</t>
        </is>
      </c>
      <c r="D172" s="37" t="inlineStr"/>
      <c r="E172" s="39" t="n">
        <v>512</v>
      </c>
      <c r="F172" s="37" t="inlineStr">
        <is>
          <t>2015-11-07T21:35:26</t>
        </is>
      </c>
    </row>
    <row r="173">
      <c r="A173" s="32" t="inlineStr">
        <is>
          <t>Executive Dashboard</t>
        </is>
      </c>
      <c r="B173" s="32" t="inlineStr">
        <is>
          <t>EQBbmb</t>
        </is>
      </c>
      <c r="C173" s="32" t="inlineStr">
        <is>
          <t>GenericBookmarkEntry</t>
        </is>
      </c>
      <c r="D173" s="32" t="inlineStr"/>
      <c r="E173" s="34" t="n">
        <v>3072</v>
      </c>
      <c r="F173" s="32" t="inlineStr">
        <is>
          <t>2015-11-07T21:35:26</t>
        </is>
      </c>
    </row>
    <row r="174">
      <c r="A174" s="37" t="inlineStr">
        <is>
          <t>Executive Dashboard</t>
        </is>
      </c>
      <c r="B174" s="37" t="inlineStr">
        <is>
          <t>QeSbaD</t>
        </is>
      </c>
      <c r="C174" s="37" t="inlineStr">
        <is>
          <t>GenericBookmarkEntry</t>
        </is>
      </c>
      <c r="D174" s="37" t="inlineStr"/>
      <c r="E174" s="39" t="n">
        <v>1536</v>
      </c>
      <c r="F174" s="37" t="inlineStr">
        <is>
          <t>2015-11-07T21:35:26</t>
        </is>
      </c>
    </row>
    <row r="175">
      <c r="A175" s="32" t="inlineStr">
        <is>
          <t>Executive Dashboard</t>
        </is>
      </c>
      <c r="B175" s="32" t="inlineStr">
        <is>
          <t>WFjQfGK</t>
        </is>
      </c>
      <c r="C175" s="32" t="inlineStr">
        <is>
          <t>GenericMeasureProperties</t>
        </is>
      </c>
      <c r="D175" s="32" t="inlineStr"/>
      <c r="E175" s="34" t="n">
        <v>512</v>
      </c>
      <c r="F175" s="32" t="inlineStr">
        <is>
          <t>2015-11-07T21:35:26</t>
        </is>
      </c>
    </row>
    <row r="176">
      <c r="A176" s="37" t="inlineStr">
        <is>
          <t>Executive Dashboard</t>
        </is>
      </c>
      <c r="B176" s="37" t="inlineStr">
        <is>
          <t>Pq01</t>
        </is>
      </c>
      <c r="C176" s="37" t="inlineStr">
        <is>
          <t>GenericBookmarkEntry</t>
        </is>
      </c>
      <c r="D176" s="37" t="inlineStr"/>
      <c r="E176" s="39" t="n">
        <v>2048</v>
      </c>
      <c r="F176" s="37" t="inlineStr">
        <is>
          <t>2015-11-07T21:35:26</t>
        </is>
      </c>
    </row>
    <row r="177">
      <c r="A177" s="32" t="inlineStr">
        <is>
          <t>Executive Dashboard</t>
        </is>
      </c>
      <c r="B177" s="32" t="inlineStr">
        <is>
          <t>RJRD</t>
        </is>
      </c>
      <c r="C177" s="32" t="inlineStr">
        <is>
          <t>GenericDimensionProperties</t>
        </is>
      </c>
      <c r="D177" s="32" t="inlineStr"/>
      <c r="E177" s="34" t="n">
        <v>2048</v>
      </c>
      <c r="F177" s="32" t="inlineStr">
        <is>
          <t>2015-11-07T21:35:26</t>
        </is>
      </c>
    </row>
    <row r="178">
      <c r="A178" s="37" t="inlineStr">
        <is>
          <t>Executive Dashboard</t>
        </is>
      </c>
      <c r="B178" s="37" t="inlineStr">
        <is>
          <t>NJTmn</t>
        </is>
      </c>
      <c r="C178" s="37" t="inlineStr">
        <is>
          <t>GenericMeasureProperties</t>
        </is>
      </c>
      <c r="D178" s="37" t="inlineStr"/>
      <c r="E178" s="39" t="n">
        <v>512</v>
      </c>
      <c r="F178" s="37" t="inlineStr">
        <is>
          <t>2015-11-07T21:35:26</t>
        </is>
      </c>
    </row>
    <row r="179">
      <c r="A179" s="32" t="inlineStr">
        <is>
          <t>Executive Dashboard</t>
        </is>
      </c>
      <c r="B179" s="32" t="inlineStr">
        <is>
          <t>jcDdm</t>
        </is>
      </c>
      <c r="C179" s="32" t="inlineStr">
        <is>
          <t>GenericDimensionProperties</t>
        </is>
      </c>
      <c r="D179" s="32" t="inlineStr"/>
      <c r="E179" s="34" t="n">
        <v>2048</v>
      </c>
      <c r="F179" s="32" t="inlineStr">
        <is>
          <t>2015-11-07T21:35:26</t>
        </is>
      </c>
    </row>
    <row r="180">
      <c r="A180" s="37" t="inlineStr">
        <is>
          <t>Executive Dashboard</t>
        </is>
      </c>
      <c r="B180" s="37" t="inlineStr">
        <is>
          <t>QuWSp</t>
        </is>
      </c>
      <c r="C180" s="37" t="inlineStr">
        <is>
          <t>GenericDimensionProperties</t>
        </is>
      </c>
      <c r="D180" s="37" t="inlineStr"/>
      <c r="E180" s="39" t="n">
        <v>2056</v>
      </c>
      <c r="F180" s="37" t="inlineStr">
        <is>
          <t>2015-11-07T21:35:26</t>
        </is>
      </c>
    </row>
    <row r="181">
      <c r="A181" s="32" t="inlineStr">
        <is>
          <t>Executive Dashboard</t>
        </is>
      </c>
      <c r="B181" s="32" t="inlineStr">
        <is>
          <t>gwVVmG</t>
        </is>
      </c>
      <c r="C181" s="32" t="inlineStr">
        <is>
          <t>GenericBookmarkEntry</t>
        </is>
      </c>
      <c r="D181" s="32" t="inlineStr"/>
      <c r="E181" s="34" t="n">
        <v>2560</v>
      </c>
      <c r="F181" s="32" t="inlineStr">
        <is>
          <t>2015-11-07T21:35:26</t>
        </is>
      </c>
    </row>
    <row r="182">
      <c r="A182" s="37" t="inlineStr">
        <is>
          <t>Executive Dashboard</t>
        </is>
      </c>
      <c r="B182" s="37" t="inlineStr">
        <is>
          <t>VjxMHP</t>
        </is>
      </c>
      <c r="C182" s="37" t="inlineStr">
        <is>
          <t>GenericMeasureProperties</t>
        </is>
      </c>
      <c r="D182" s="37" t="inlineStr"/>
      <c r="E182" s="39" t="n">
        <v>512</v>
      </c>
      <c r="F182" s="37" t="inlineStr">
        <is>
          <t>2015-11-07T21:35:26</t>
        </is>
      </c>
    </row>
    <row r="183">
      <c r="A183" s="32" t="inlineStr">
        <is>
          <t>Executive Dashboard</t>
        </is>
      </c>
      <c r="B183" s="32" t="inlineStr">
        <is>
          <t>VSufGd</t>
        </is>
      </c>
      <c r="C183" s="32" t="inlineStr">
        <is>
          <t>GenericMeasureProperties</t>
        </is>
      </c>
      <c r="D183" s="32" t="inlineStr"/>
      <c r="E183" s="34" t="n">
        <v>512</v>
      </c>
      <c r="F183" s="32" t="inlineStr">
        <is>
          <t>2015-11-07T21:35:26</t>
        </is>
      </c>
    </row>
    <row r="184">
      <c r="A184" s="37" t="inlineStr">
        <is>
          <t>Executive Dashboard</t>
        </is>
      </c>
      <c r="B184" s="37" t="inlineStr">
        <is>
          <t>DSrjAGm</t>
        </is>
      </c>
      <c r="C184" s="37" t="inlineStr">
        <is>
          <t>GenericMeasureProperties</t>
        </is>
      </c>
      <c r="D184" s="37" t="inlineStr"/>
      <c r="E184" s="39" t="n">
        <v>512</v>
      </c>
      <c r="F184" s="37" t="inlineStr">
        <is>
          <t>2015-11-07T21:35:26</t>
        </is>
      </c>
    </row>
    <row r="185">
      <c r="A185" s="32" t="inlineStr">
        <is>
          <t>Executive Dashboard</t>
        </is>
      </c>
      <c r="B185" s="32" t="inlineStr">
        <is>
          <t>ncee</t>
        </is>
      </c>
      <c r="C185" s="32" t="inlineStr">
        <is>
          <t>GenericBookmarkEntry</t>
        </is>
      </c>
      <c r="D185" s="32" t="inlineStr"/>
      <c r="E185" s="34" t="n">
        <v>2048</v>
      </c>
      <c r="F185" s="32" t="inlineStr">
        <is>
          <t>2015-11-07T21:35:26</t>
        </is>
      </c>
    </row>
    <row r="186">
      <c r="A186" s="37" t="inlineStr">
        <is>
          <t>Executive Dashboard</t>
        </is>
      </c>
      <c r="B186" s="37" t="inlineStr">
        <is>
          <t>xgaCSv</t>
        </is>
      </c>
      <c r="C186" s="37" t="inlineStr">
        <is>
          <t>GenericBookmarkEntry</t>
        </is>
      </c>
      <c r="D186" s="37" t="inlineStr"/>
      <c r="E186" s="39" t="n">
        <v>2560</v>
      </c>
      <c r="F186" s="37" t="inlineStr">
        <is>
          <t>2015-11-07T21:35:26</t>
        </is>
      </c>
    </row>
    <row r="187">
      <c r="A187" s="32" t="inlineStr">
        <is>
          <t>Executive Dashboard</t>
        </is>
      </c>
      <c r="B187" s="32" t="inlineStr">
        <is>
          <t>AswNnUE</t>
        </is>
      </c>
      <c r="C187" s="32" t="inlineStr">
        <is>
          <t>GenericDimensionProperties</t>
        </is>
      </c>
      <c r="D187" s="32" t="inlineStr"/>
      <c r="E187" s="34" t="n">
        <v>2048</v>
      </c>
      <c r="F187" s="32" t="inlineStr">
        <is>
          <t>2015-11-07T21:35:26</t>
        </is>
      </c>
    </row>
    <row r="188">
      <c r="A188" s="37" t="inlineStr">
        <is>
          <t>Executive Dashboard</t>
        </is>
      </c>
      <c r="B188" s="37" t="inlineStr">
        <is>
          <t>vkgvG</t>
        </is>
      </c>
      <c r="C188" s="37" t="inlineStr">
        <is>
          <t>GenericBookmarkEntry</t>
        </is>
      </c>
      <c r="D188" s="37" t="inlineStr"/>
      <c r="E188" s="39" t="n">
        <v>2560</v>
      </c>
      <c r="F188" s="37" t="inlineStr">
        <is>
          <t>2015-11-07T21:35:26</t>
        </is>
      </c>
    </row>
    <row r="189">
      <c r="A189" s="32" t="inlineStr">
        <is>
          <t>Executive Dashboard</t>
        </is>
      </c>
      <c r="B189" s="32" t="inlineStr">
        <is>
          <t>vhdJ</t>
        </is>
      </c>
      <c r="C189" s="32" t="inlineStr">
        <is>
          <t>GenericMeasureProperties</t>
        </is>
      </c>
      <c r="D189" s="32" t="inlineStr"/>
      <c r="E189" s="34" t="n">
        <v>512</v>
      </c>
      <c r="F189" s="32" t="inlineStr">
        <is>
          <t>2015-11-07T21:35:26</t>
        </is>
      </c>
    </row>
    <row r="190">
      <c r="A190" s="37" t="inlineStr">
        <is>
          <t>Executive Dashboard</t>
        </is>
      </c>
      <c r="B190" s="37" t="inlineStr">
        <is>
          <t>Ta02</t>
        </is>
      </c>
      <c r="C190" s="37" t="inlineStr">
        <is>
          <t>GenericBookmarkEntry</t>
        </is>
      </c>
      <c r="D190" s="37" t="inlineStr"/>
      <c r="E190" s="39" t="n">
        <v>2048</v>
      </c>
      <c r="F190" s="37" t="inlineStr">
        <is>
          <t>2015-11-07T21:35:26</t>
        </is>
      </c>
    </row>
    <row r="191">
      <c r="A191" s="32" t="inlineStr">
        <is>
          <t>Executive Dashboard</t>
        </is>
      </c>
      <c r="B191" s="32" t="inlineStr">
        <is>
          <t>FYkzzR</t>
        </is>
      </c>
      <c r="C191" s="32" t="inlineStr">
        <is>
          <t>GenericDimensionProperties</t>
        </is>
      </c>
      <c r="D191" s="32" t="inlineStr"/>
      <c r="E191" s="34" t="n">
        <v>2048</v>
      </c>
      <c r="F191" s="32" t="inlineStr">
        <is>
          <t>2015-11-07T21:35:26</t>
        </is>
      </c>
    </row>
    <row r="192">
      <c r="A192" s="37" t="inlineStr">
        <is>
          <t>Executive Dashboard</t>
        </is>
      </c>
      <c r="B192" s="37" t="inlineStr">
        <is>
          <t>gPDABt</t>
        </is>
      </c>
      <c r="C192" s="37" t="inlineStr">
        <is>
          <t>GenericMeasureProperties</t>
        </is>
      </c>
      <c r="D192" s="37" t="inlineStr"/>
      <c r="E192" s="39" t="n">
        <v>512</v>
      </c>
      <c r="F192" s="37" t="inlineStr">
        <is>
          <t>2015-11-07T21:35:26</t>
        </is>
      </c>
    </row>
    <row r="193">
      <c r="A193" s="32" t="inlineStr">
        <is>
          <t>Executive Dashboard</t>
        </is>
      </c>
      <c r="B193" s="32" t="inlineStr">
        <is>
          <t>wLJmmJn</t>
        </is>
      </c>
      <c r="C193" s="32" t="inlineStr">
        <is>
          <t>GenericDimensionProperties</t>
        </is>
      </c>
      <c r="D193" s="32" t="inlineStr"/>
      <c r="E193" s="34" t="n">
        <v>2048</v>
      </c>
      <c r="F193" s="32" t="inlineStr">
        <is>
          <t>2015-11-07T21:35:26</t>
        </is>
      </c>
    </row>
    <row r="194">
      <c r="A194" s="37" t="inlineStr">
        <is>
          <t>Executive Dashboard</t>
        </is>
      </c>
      <c r="B194" s="37" t="inlineStr">
        <is>
          <t>eMukN</t>
        </is>
      </c>
      <c r="C194" s="37" t="inlineStr">
        <is>
          <t>GenericDimensionProperties</t>
        </is>
      </c>
      <c r="D194" s="37" t="inlineStr"/>
      <c r="E194" s="39" t="n">
        <v>2048</v>
      </c>
      <c r="F194" s="37" t="inlineStr">
        <is>
          <t>2015-11-07T21:35:26</t>
        </is>
      </c>
    </row>
    <row r="195">
      <c r="A195" s="32" t="inlineStr">
        <is>
          <t>Executive Dashboard</t>
        </is>
      </c>
      <c r="B195" s="32" t="inlineStr">
        <is>
          <t>Cbpvks</t>
        </is>
      </c>
      <c r="C195" s="32" t="inlineStr">
        <is>
          <t>GenericAppObjectEntry</t>
        </is>
      </c>
      <c r="D195" s="32" t="inlineStr"/>
      <c r="E195" s="34" t="n">
        <v>2153</v>
      </c>
      <c r="F195" s="32" t="inlineStr">
        <is>
          <t>2015-11-07T21:35:26</t>
        </is>
      </c>
    </row>
    <row r="196">
      <c r="A196" s="37" t="inlineStr">
        <is>
          <t>Executive Dashboard</t>
        </is>
      </c>
      <c r="B196" s="37" t="inlineStr">
        <is>
          <t>gG02</t>
        </is>
      </c>
      <c r="C196" s="37" t="inlineStr">
        <is>
          <t>GenericBookmarkEntry</t>
        </is>
      </c>
      <c r="D196" s="37" t="inlineStr"/>
      <c r="E196" s="39" t="n">
        <v>3072</v>
      </c>
      <c r="F196" s="37" t="inlineStr">
        <is>
          <t>2015-11-07T21:35:26</t>
        </is>
      </c>
    </row>
    <row r="197">
      <c r="A197" s="32" t="inlineStr">
        <is>
          <t>Executive Dashboard</t>
        </is>
      </c>
      <c r="B197" s="32" t="inlineStr">
        <is>
          <t>FaQeFa</t>
        </is>
      </c>
      <c r="C197" s="32" t="inlineStr">
        <is>
          <t>GenericAppObjectEntry</t>
        </is>
      </c>
      <c r="D197" s="32" t="inlineStr"/>
      <c r="E197" s="34" t="n">
        <v>2560</v>
      </c>
      <c r="F197" s="32" t="inlineStr">
        <is>
          <t>2015-11-07T21:35:26</t>
        </is>
      </c>
    </row>
    <row r="198">
      <c r="A198" s="37" t="inlineStr">
        <is>
          <t>Executive Dashboard</t>
        </is>
      </c>
      <c r="B198" s="37" t="inlineStr">
        <is>
          <t>MLpRbv</t>
        </is>
      </c>
      <c r="C198" s="37" t="inlineStr">
        <is>
          <t>GenericBookmarkEntry</t>
        </is>
      </c>
      <c r="D198" s="37" t="inlineStr"/>
      <c r="E198" s="39" t="n">
        <v>2560</v>
      </c>
      <c r="F198" s="37" t="inlineStr">
        <is>
          <t>2015-11-07T21:35:26</t>
        </is>
      </c>
    </row>
    <row r="199">
      <c r="A199" s="32" t="inlineStr">
        <is>
          <t>Executive Dashboard</t>
        </is>
      </c>
      <c r="B199" s="32" t="inlineStr">
        <is>
          <t>jP01</t>
        </is>
      </c>
      <c r="C199" s="32" t="inlineStr">
        <is>
          <t>GenericBookmarkEntry</t>
        </is>
      </c>
      <c r="D199" s="32" t="inlineStr"/>
      <c r="E199" s="34" t="n">
        <v>4096</v>
      </c>
      <c r="F199" s="32" t="inlineStr">
        <is>
          <t>2015-11-07T21:35:26</t>
        </is>
      </c>
    </row>
    <row r="200">
      <c r="A200" s="37" t="inlineStr">
        <is>
          <t>Executive Dashboard</t>
        </is>
      </c>
      <c r="B200" s="37" t="inlineStr">
        <is>
          <t>dyCEjG</t>
        </is>
      </c>
      <c r="C200" s="37" t="inlineStr">
        <is>
          <t>GenericDimensionProperties</t>
        </is>
      </c>
      <c r="D200" s="37" t="inlineStr"/>
      <c r="E200" s="39" t="n">
        <v>2048</v>
      </c>
      <c r="F200" s="37" t="inlineStr">
        <is>
          <t>2015-11-07T21:35:26</t>
        </is>
      </c>
    </row>
    <row r="201">
      <c r="A201" s="32" t="inlineStr">
        <is>
          <t>Executive Dashboard</t>
        </is>
      </c>
      <c r="B201" s="32" t="inlineStr">
        <is>
          <t>KKnaBV</t>
        </is>
      </c>
      <c r="C201" s="32" t="inlineStr">
        <is>
          <t>GenericMeasureProperties</t>
        </is>
      </c>
      <c r="D201" s="32" t="inlineStr"/>
      <c r="E201" s="34" t="n">
        <v>512</v>
      </c>
      <c r="F201" s="32" t="inlineStr">
        <is>
          <t>2015-11-07T21:35:26</t>
        </is>
      </c>
    </row>
    <row r="202">
      <c r="A202" s="37" t="inlineStr">
        <is>
          <t>Executive Dashboard</t>
        </is>
      </c>
      <c r="B202" s="37" t="inlineStr">
        <is>
          <t>nRxXG</t>
        </is>
      </c>
      <c r="C202" s="37" t="inlineStr">
        <is>
          <t>GenericAppObjectEntry</t>
        </is>
      </c>
      <c r="D202" s="37" t="inlineStr"/>
      <c r="E202" s="39" t="n">
        <v>1113</v>
      </c>
      <c r="F202" s="37" t="inlineStr">
        <is>
          <t>2015-11-07T21:35:26</t>
        </is>
      </c>
    </row>
    <row r="203">
      <c r="A203" s="32" t="inlineStr">
        <is>
          <t>Executive Dashboard</t>
        </is>
      </c>
      <c r="B203" s="32" t="inlineStr">
        <is>
          <t>rsXje</t>
        </is>
      </c>
      <c r="C203" s="32" t="inlineStr">
        <is>
          <t>GenericBookmarkEntry</t>
        </is>
      </c>
      <c r="D203" s="32" t="inlineStr"/>
      <c r="E203" s="34" t="n">
        <v>2048</v>
      </c>
      <c r="F203" s="32" t="inlineStr">
        <is>
          <t>2015-11-07T21:35:26</t>
        </is>
      </c>
    </row>
    <row r="204">
      <c r="A204" s="37" t="inlineStr">
        <is>
          <t>Executive Dashboard</t>
        </is>
      </c>
      <c r="B204" s="37" t="inlineStr">
        <is>
          <t>gGWThQs</t>
        </is>
      </c>
      <c r="C204" s="37" t="inlineStr">
        <is>
          <t>GenericBookmarkEntry</t>
        </is>
      </c>
      <c r="D204" s="37" t="inlineStr"/>
      <c r="E204" s="39" t="n">
        <v>3072</v>
      </c>
      <c r="F204" s="37" t="inlineStr">
        <is>
          <t>2015-11-07T21:35:26</t>
        </is>
      </c>
    </row>
    <row r="205">
      <c r="A205" s="32" t="inlineStr">
        <is>
          <t>Executive Dashboard</t>
        </is>
      </c>
      <c r="B205" s="32" t="inlineStr">
        <is>
          <t>kFkPpz</t>
        </is>
      </c>
      <c r="C205" s="32" t="inlineStr">
        <is>
          <t>GenericMeasureProperties</t>
        </is>
      </c>
      <c r="D205" s="32" t="inlineStr"/>
      <c r="E205" s="34" t="n">
        <v>512</v>
      </c>
      <c r="F205" s="32" t="inlineStr">
        <is>
          <t>2015-11-07T21:35:26</t>
        </is>
      </c>
    </row>
    <row r="206">
      <c r="A206" s="37" t="inlineStr">
        <is>
          <t>Executive Dashboard</t>
        </is>
      </c>
      <c r="B206" s="37" t="inlineStr">
        <is>
          <t>TGwPSs</t>
        </is>
      </c>
      <c r="C206" s="37" t="inlineStr">
        <is>
          <t>GenericMeasureProperties</t>
        </is>
      </c>
      <c r="D206" s="37" t="inlineStr"/>
      <c r="E206" s="39" t="n">
        <v>512</v>
      </c>
      <c r="F206" s="37" t="inlineStr">
        <is>
          <t>2015-11-07T21:35:26</t>
        </is>
      </c>
    </row>
    <row r="207">
      <c r="A207" s="32" t="inlineStr">
        <is>
          <t>Executive Dashboard</t>
        </is>
      </c>
      <c r="B207" s="32" t="inlineStr">
        <is>
          <t>jPTmcR</t>
        </is>
      </c>
      <c r="C207" s="32" t="inlineStr">
        <is>
          <t>GenericBookmarkEntry</t>
        </is>
      </c>
      <c r="D207" s="32" t="inlineStr"/>
      <c r="E207" s="34" t="n">
        <v>4096</v>
      </c>
      <c r="F207" s="32" t="inlineStr">
        <is>
          <t>2015-11-07T21:35:26</t>
        </is>
      </c>
    </row>
    <row r="208">
      <c r="A208" s="37" t="inlineStr">
        <is>
          <t>Executive Dashboard</t>
        </is>
      </c>
      <c r="B208" s="37" t="inlineStr">
        <is>
          <t>qvapp_approperties</t>
        </is>
      </c>
      <c r="C208" s="37" t="inlineStr">
        <is>
          <t>NxAppProperties</t>
        </is>
      </c>
      <c r="D208" s="37" t="inlineStr"/>
      <c r="E208" s="39" t="n">
        <v>505</v>
      </c>
      <c r="F208" s="37" t="inlineStr">
        <is>
          <t>2015-11-07T21:35:26</t>
        </is>
      </c>
    </row>
    <row r="209">
      <c r="A209" s="32" t="inlineStr">
        <is>
          <t>Executive Dashboard</t>
        </is>
      </c>
      <c r="B209" s="32" t="inlineStr">
        <is>
          <t>media/acf92e2f-3cfc-4e1f-8c9e-442805613b06</t>
        </is>
      </c>
      <c r="C209" s="32" t="inlineStr"/>
      <c r="D209" s="32" t="inlineStr"/>
      <c r="E209" s="34" t="n">
        <v>2285</v>
      </c>
      <c r="F209" s="32" t="inlineStr">
        <is>
          <t>2015-05-20T16:16:55</t>
        </is>
      </c>
    </row>
    <row r="210">
      <c r="A210" s="37" t="inlineStr">
        <is>
          <t>Executive Dashboard</t>
        </is>
      </c>
      <c r="B210" s="37" t="inlineStr">
        <is>
          <t>media/70ca7a28-aa41-4dad-8b2a-39065c2913a2</t>
        </is>
      </c>
      <c r="C210" s="37" t="inlineStr"/>
      <c r="D210" s="37" t="inlineStr"/>
      <c r="E210" s="39" t="n">
        <v>256</v>
      </c>
      <c r="F210" s="37" t="inlineStr">
        <is>
          <t>2015-05-20T19:43:34</t>
        </is>
      </c>
    </row>
    <row r="211">
      <c r="A211" s="32" t="inlineStr">
        <is>
          <t>Executive Dashboard</t>
        </is>
      </c>
      <c r="B211" s="32" t="inlineStr">
        <is>
          <t>media/d530f49c-c735-4d4e-9f99-266d31076d79</t>
        </is>
      </c>
      <c r="C211" s="32" t="inlineStr"/>
      <c r="D211" s="32" t="inlineStr"/>
      <c r="E211" s="34" t="n">
        <v>256</v>
      </c>
      <c r="F211" s="32" t="inlineStr">
        <is>
          <t>2015-05-20T19:43:34</t>
        </is>
      </c>
    </row>
    <row r="212">
      <c r="A212" s="37" t="inlineStr">
        <is>
          <t>Executive Dashboard</t>
        </is>
      </c>
      <c r="B212" s="37" t="inlineStr">
        <is>
          <t>media/24517681-ef6d-4761-952e-389b8d3bd632</t>
        </is>
      </c>
      <c r="C212" s="37" t="inlineStr"/>
      <c r="D212" s="37" t="inlineStr"/>
      <c r="E212" s="39" t="n">
        <v>256</v>
      </c>
      <c r="F212" s="37" t="inlineStr">
        <is>
          <t>2015-05-20T19:44:06</t>
        </is>
      </c>
    </row>
    <row r="213">
      <c r="A213" s="32" t="inlineStr">
        <is>
          <t>Executive Dashboard</t>
        </is>
      </c>
      <c r="B213" s="32" t="inlineStr">
        <is>
          <t>media/79af67e9-ba38-4052-b153-3b72823c6224/storytelling-executivedash_1.jpg</t>
        </is>
      </c>
      <c r="C213" s="32" t="inlineStr"/>
      <c r="D213" s="32" t="inlineStr"/>
      <c r="E213" s="34" t="n">
        <v>7966</v>
      </c>
      <c r="F213" s="32" t="inlineStr">
        <is>
          <t>2015-05-20T19:44:35</t>
        </is>
      </c>
    </row>
    <row r="214">
      <c r="A214" s="37" t="inlineStr">
        <is>
          <t>Executive Dashboard</t>
        </is>
      </c>
      <c r="B214" s="37" t="inlineStr">
        <is>
          <t>media/29ea7d58-6537-413d-9e24-c554c8ad5e03/executive-dashboard.jpg</t>
        </is>
      </c>
      <c r="C214" s="37" t="inlineStr">
        <is>
          <t>NxQvfBundledItem</t>
        </is>
      </c>
      <c r="D214" s="37" t="inlineStr"/>
      <c r="E214" s="39" t="n">
        <v>21429</v>
      </c>
      <c r="F214" s="37" t="inlineStr">
        <is>
          <t>2015-05-21T15:29:32</t>
        </is>
      </c>
    </row>
    <row r="215">
      <c r="A215" s="32" t="inlineStr">
        <is>
          <t>Executive Dashboard</t>
        </is>
      </c>
      <c r="B215" s="32" t="inlineStr">
        <is>
          <t>qvapp_variablelist</t>
        </is>
      </c>
      <c r="C215" s="32" t="inlineStr">
        <is>
          <t>GenericVariableEntryList</t>
        </is>
      </c>
      <c r="D215" s="32" t="inlineStr"/>
      <c r="E215" s="34" t="n">
        <v>2285</v>
      </c>
      <c r="F215" s="32" t="inlineStr">
        <is>
          <t>2015-11-07T21:35:26</t>
        </is>
      </c>
    </row>
    <row r="216">
      <c r="A216" s="37" t="inlineStr">
        <is>
          <t>Executive Dashboard</t>
        </is>
      </c>
      <c r="B216" s="37" t="inlineStr">
        <is>
          <t>user_variablelist</t>
        </is>
      </c>
      <c r="C216" s="37" t="inlineStr">
        <is>
          <t>GenericVariableEntryList</t>
        </is>
      </c>
      <c r="D216" s="37" t="inlineStr"/>
      <c r="E216" s="39" t="n">
        <v>81</v>
      </c>
      <c r="F216" s="37" t="inlineStr">
        <is>
          <t>2015-11-07T21:35:26</t>
        </is>
      </c>
    </row>
    <row r="217">
      <c r="A217" s="32" t="inlineStr">
        <is>
          <t>Executive Dashboard</t>
        </is>
      </c>
      <c r="B217" s="32" t="inlineStr">
        <is>
          <t>qvapp_derivedfieldlist</t>
        </is>
      </c>
      <c r="C217" s="32" t="inlineStr">
        <is>
          <t>GenericDerivedFieldEntryList</t>
        </is>
      </c>
      <c r="D217" s="32" t="inlineStr"/>
      <c r="E217" s="34" t="n">
        <v>58</v>
      </c>
      <c r="F217" s="32" t="inlineStr">
        <is>
          <t>2015-11-07T21:35:26</t>
        </is>
      </c>
    </row>
    <row r="218">
      <c r="A218" s="37" t="inlineStr">
        <is>
          <t>Executive Dashboard</t>
        </is>
      </c>
      <c r="B218" s="37" t="inlineStr">
        <is>
          <t>qvapp_deriveddefinitionlist</t>
        </is>
      </c>
      <c r="C218" s="37" t="inlineStr"/>
      <c r="D218" s="37" t="inlineStr"/>
      <c r="E218" s="39" t="n">
        <v>58</v>
      </c>
      <c r="F218" s="37" t="inlineStr">
        <is>
          <t>2015-11-07T21:35:26</t>
        </is>
      </c>
    </row>
    <row r="219">
      <c r="A219" s="32" t="inlineStr">
        <is>
          <t>First Qlikview Report</t>
        </is>
      </c>
      <c r="B219" s="32" t="inlineStr">
        <is>
          <t>Document/BM01</t>
        </is>
      </c>
      <c r="C219" s="32" t="inlineStr">
        <is>
          <t>Bookmark</t>
        </is>
      </c>
      <c r="D219" s="32" t="inlineStr">
        <is>
          <t>binary</t>
        </is>
      </c>
      <c r="E219" s="34" t="n">
        <v>104</v>
      </c>
      <c r="F219" s="32" t="inlineStr">
        <is>
          <t>2026-09-24T14:02:03</t>
        </is>
      </c>
    </row>
    <row r="220">
      <c r="A220" s="37" t="inlineStr">
        <is>
          <t>First Qlikview Report</t>
        </is>
      </c>
      <c r="B220" s="37" t="inlineStr">
        <is>
          <t>Document/BM02</t>
        </is>
      </c>
      <c r="C220" s="37" t="inlineStr">
        <is>
          <t>Bookmark</t>
        </is>
      </c>
      <c r="D220" s="37" t="inlineStr">
        <is>
          <t>binary</t>
        </is>
      </c>
      <c r="E220" s="39" t="n">
        <v>255</v>
      </c>
      <c r="F220" s="37" t="inlineStr">
        <is>
          <t>2026-09-24T14:02:03</t>
        </is>
      </c>
    </row>
    <row r="221">
      <c r="A221" s="32" t="inlineStr">
        <is>
          <t>First Qlikview Report</t>
        </is>
      </c>
      <c r="B221" s="32" t="inlineStr">
        <is>
          <t>CH01</t>
        </is>
      </c>
      <c r="C221" s="32" t="inlineStr">
        <is>
          <t>GraphProperties</t>
        </is>
      </c>
      <c r="D221" s="32" t="inlineStr">
        <is>
          <t>binary</t>
        </is>
      </c>
      <c r="E221" s="34" t="n">
        <v>1258</v>
      </c>
      <c r="F221" s="32" t="inlineStr">
        <is>
          <t>2026-09-24T14:02:03</t>
        </is>
      </c>
    </row>
    <row r="222">
      <c r="A222" s="37" t="inlineStr">
        <is>
          <t>First Qlikview Report</t>
        </is>
      </c>
      <c r="B222" s="37" t="inlineStr">
        <is>
          <t>LB01</t>
        </is>
      </c>
      <c r="C222" s="37" t="inlineStr">
        <is>
          <t>ListBoxProperties</t>
        </is>
      </c>
      <c r="D222" s="37" t="inlineStr">
        <is>
          <t>binary</t>
        </is>
      </c>
      <c r="E222" s="39" t="n">
        <v>340</v>
      </c>
      <c r="F222" s="37" t="inlineStr">
        <is>
          <t>2026-09-24T14:02:03</t>
        </is>
      </c>
    </row>
    <row r="223">
      <c r="A223" s="32" t="inlineStr">
        <is>
          <t>First Qlikview Report</t>
        </is>
      </c>
      <c r="B223" s="32" t="inlineStr">
        <is>
          <t>CS01</t>
        </is>
      </c>
      <c r="C223" s="32" t="inlineStr">
        <is>
          <t>CurrentSelectionProperties</t>
        </is>
      </c>
      <c r="D223" s="32" t="inlineStr">
        <is>
          <t>binary</t>
        </is>
      </c>
      <c r="E223" s="34" t="n">
        <v>389</v>
      </c>
      <c r="F223" s="32" t="inlineStr">
        <is>
          <t>2026-09-24T14:02:03</t>
        </is>
      </c>
    </row>
    <row r="224">
      <c r="A224" s="37" t="inlineStr">
        <is>
          <t>First Qlikview Report</t>
        </is>
      </c>
      <c r="B224" s="37" t="inlineStr">
        <is>
          <t>SO01</t>
        </is>
      </c>
      <c r="C224" s="37" t="inlineStr">
        <is>
          <t>SearchObjectProperties</t>
        </is>
      </c>
      <c r="D224" s="37" t="inlineStr">
        <is>
          <t>binary</t>
        </is>
      </c>
      <c r="E224" s="39" t="n">
        <v>270</v>
      </c>
      <c r="F224" s="37" t="inlineStr">
        <is>
          <t>2026-09-24T14:02:03</t>
        </is>
      </c>
    </row>
    <row r="225">
      <c r="A225" s="32" t="inlineStr">
        <is>
          <t>First Qlikview Report</t>
        </is>
      </c>
      <c r="B225" s="32" t="inlineStr">
        <is>
          <t>data/field_0</t>
        </is>
      </c>
      <c r="C225" s="32" t="inlineStr">
        <is>
          <t>qvapp_cfield</t>
        </is>
      </c>
      <c r="D225" s="32" t="inlineStr"/>
      <c r="E225" s="34" t="n">
        <v>275</v>
      </c>
      <c r="F225" s="32" t="inlineStr">
        <is>
          <t>2026-09-24T14:02:03</t>
        </is>
      </c>
    </row>
    <row r="226">
      <c r="A226" s="37" t="inlineStr">
        <is>
          <t>First Qlikview Report</t>
        </is>
      </c>
      <c r="B226" s="37" t="inlineStr">
        <is>
          <t>data/field_1</t>
        </is>
      </c>
      <c r="C226" s="37" t="inlineStr">
        <is>
          <t>qvapp_cfield</t>
        </is>
      </c>
      <c r="D226" s="37" t="inlineStr"/>
      <c r="E226" s="39" t="n">
        <v>261</v>
      </c>
      <c r="F226" s="37" t="inlineStr">
        <is>
          <t>2026-09-24T14:02:03</t>
        </is>
      </c>
    </row>
    <row r="227">
      <c r="A227" s="32" t="inlineStr">
        <is>
          <t>First Qlikview Report</t>
        </is>
      </c>
      <c r="B227" s="32" t="inlineStr">
        <is>
          <t>data/field_2</t>
        </is>
      </c>
      <c r="C227" s="32" t="inlineStr">
        <is>
          <t>qvapp_cfield</t>
        </is>
      </c>
      <c r="D227" s="32" t="inlineStr"/>
      <c r="E227" s="34" t="n">
        <v>191</v>
      </c>
      <c r="F227" s="32" t="inlineStr">
        <is>
          <t>2026-09-24T14:02:03</t>
        </is>
      </c>
    </row>
    <row r="228">
      <c r="A228" s="37" t="inlineStr">
        <is>
          <t>First Qlikview Report</t>
        </is>
      </c>
      <c r="B228" s="37" t="inlineStr">
        <is>
          <t>data/field_3</t>
        </is>
      </c>
      <c r="C228" s="37" t="inlineStr">
        <is>
          <t>qvapp_cfield</t>
        </is>
      </c>
      <c r="D228" s="37" t="inlineStr"/>
      <c r="E228" s="39" t="n">
        <v>190</v>
      </c>
      <c r="F228" s="37" t="inlineStr">
        <is>
          <t>2026-09-24T14:02:03</t>
        </is>
      </c>
    </row>
    <row r="229">
      <c r="A229" s="32" t="inlineStr">
        <is>
          <t>First Qlikview Report</t>
        </is>
      </c>
      <c r="B229" s="32" t="inlineStr">
        <is>
          <t>data/field_4</t>
        </is>
      </c>
      <c r="C229" s="32" t="inlineStr">
        <is>
          <t>qvapp_cfield</t>
        </is>
      </c>
      <c r="D229" s="32" t="inlineStr"/>
      <c r="E229" s="34" t="n">
        <v>222</v>
      </c>
      <c r="F229" s="32" t="inlineStr">
        <is>
          <t>2026-09-24T14:02:03</t>
        </is>
      </c>
    </row>
    <row r="230">
      <c r="A230" s="37" t="inlineStr">
        <is>
          <t>First Qlikview Report</t>
        </is>
      </c>
      <c r="B230" s="37" t="inlineStr">
        <is>
          <t>data/field_5</t>
        </is>
      </c>
      <c r="C230" s="37" t="inlineStr">
        <is>
          <t>qvapp_cfield</t>
        </is>
      </c>
      <c r="D230" s="37" t="inlineStr"/>
      <c r="E230" s="39" t="n">
        <v>185</v>
      </c>
      <c r="F230" s="37" t="inlineStr">
        <is>
          <t>2026-09-24T14:02:03</t>
        </is>
      </c>
    </row>
    <row r="231">
      <c r="A231" s="32" t="inlineStr">
        <is>
          <t>First Qlikview Report</t>
        </is>
      </c>
      <c r="B231" s="32" t="inlineStr">
        <is>
          <t>data/field_6</t>
        </is>
      </c>
      <c r="C231" s="32" t="inlineStr">
        <is>
          <t>qvapp_cfield</t>
        </is>
      </c>
      <c r="D231" s="32" t="inlineStr"/>
      <c r="E231" s="34" t="n">
        <v>196</v>
      </c>
      <c r="F231" s="32" t="inlineStr">
        <is>
          <t>2026-09-24T14:02:03</t>
        </is>
      </c>
    </row>
    <row r="232">
      <c r="A232" s="37" t="inlineStr">
        <is>
          <t>First Qlikview Report</t>
        </is>
      </c>
      <c r="B232" s="37" t="inlineStr">
        <is>
          <t>data/field_7</t>
        </is>
      </c>
      <c r="C232" s="37" t="inlineStr">
        <is>
          <t>qvapp_cfield</t>
        </is>
      </c>
      <c r="D232" s="37" t="inlineStr"/>
      <c r="E232" s="39" t="n">
        <v>244</v>
      </c>
      <c r="F232" s="37" t="inlineStr">
        <is>
          <t>2026-09-24T14:02:03</t>
        </is>
      </c>
    </row>
    <row r="233">
      <c r="A233" s="32" t="inlineStr">
        <is>
          <t>First Qlikview Report</t>
        </is>
      </c>
      <c r="B233" s="32" t="inlineStr">
        <is>
          <t>data/field_8</t>
        </is>
      </c>
      <c r="C233" s="32" t="inlineStr">
        <is>
          <t>qvapp_cfield</t>
        </is>
      </c>
      <c r="D233" s="32" t="inlineStr"/>
      <c r="E233" s="34" t="n">
        <v>215</v>
      </c>
      <c r="F233" s="32" t="inlineStr">
        <is>
          <t>2026-09-24T14:02:03</t>
        </is>
      </c>
    </row>
    <row r="234">
      <c r="A234" s="37" t="inlineStr">
        <is>
          <t>First Qlikview Report</t>
        </is>
      </c>
      <c r="B234" s="37" t="inlineStr">
        <is>
          <t>data/field_9</t>
        </is>
      </c>
      <c r="C234" s="37" t="inlineStr">
        <is>
          <t>qvapp_cfield</t>
        </is>
      </c>
      <c r="D234" s="37" t="inlineStr"/>
      <c r="E234" s="39" t="n">
        <v>210</v>
      </c>
      <c r="F234" s="37" t="inlineStr">
        <is>
          <t>2026-09-24T14:02:03</t>
        </is>
      </c>
    </row>
    <row r="235">
      <c r="A235" s="32" t="inlineStr">
        <is>
          <t>First Qlikview Report</t>
        </is>
      </c>
      <c r="B235" s="32" t="inlineStr">
        <is>
          <t>data/field_10</t>
        </is>
      </c>
      <c r="C235" s="32" t="inlineStr">
        <is>
          <t>qvapp_cfield</t>
        </is>
      </c>
      <c r="D235" s="32" t="inlineStr"/>
      <c r="E235" s="34" t="n">
        <v>214</v>
      </c>
      <c r="F235" s="32" t="inlineStr">
        <is>
          <t>2026-09-24T14:02:03</t>
        </is>
      </c>
    </row>
    <row r="236">
      <c r="A236" s="37" t="inlineStr">
        <is>
          <t>First Qlikview Report</t>
        </is>
      </c>
      <c r="B236" s="37" t="inlineStr">
        <is>
          <t>data/field_11</t>
        </is>
      </c>
      <c r="C236" s="37" t="inlineStr">
        <is>
          <t>qvapp_cfield</t>
        </is>
      </c>
      <c r="D236" s="37" t="inlineStr"/>
      <c r="E236" s="39" t="n">
        <v>229</v>
      </c>
      <c r="F236" s="37" t="inlineStr">
        <is>
          <t>2026-09-24T14:02:03</t>
        </is>
      </c>
    </row>
    <row r="237">
      <c r="A237" s="32" t="inlineStr">
        <is>
          <t>First Qlikview Report</t>
        </is>
      </c>
      <c r="B237" s="32" t="inlineStr">
        <is>
          <t>data/field_12</t>
        </is>
      </c>
      <c r="C237" s="32" t="inlineStr">
        <is>
          <t>qvapp_cfield</t>
        </is>
      </c>
      <c r="D237" s="32" t="inlineStr"/>
      <c r="E237" s="34" t="n">
        <v>220</v>
      </c>
      <c r="F237" s="32" t="inlineStr">
        <is>
          <t>2026-09-24T14:02:03</t>
        </is>
      </c>
    </row>
    <row r="238">
      <c r="A238" s="37" t="inlineStr">
        <is>
          <t>First Qlikview Report</t>
        </is>
      </c>
      <c r="B238" s="37" t="inlineStr">
        <is>
          <t>data/field_13</t>
        </is>
      </c>
      <c r="C238" s="37" t="inlineStr">
        <is>
          <t>qvapp_cfield</t>
        </is>
      </c>
      <c r="D238" s="37" t="inlineStr"/>
      <c r="E238" s="39" t="n">
        <v>220</v>
      </c>
      <c r="F238" s="37" t="inlineStr">
        <is>
          <t>2026-09-24T14:02:03</t>
        </is>
      </c>
    </row>
    <row r="239">
      <c r="A239" s="32" t="inlineStr">
        <is>
          <t>First Qlikview Report</t>
        </is>
      </c>
      <c r="B239" s="32" t="inlineStr">
        <is>
          <t>data/field_14</t>
        </is>
      </c>
      <c r="C239" s="32" t="inlineStr">
        <is>
          <t>qvapp_cfield</t>
        </is>
      </c>
      <c r="D239" s="32" t="inlineStr"/>
      <c r="E239" s="34" t="n">
        <v>240</v>
      </c>
      <c r="F239" s="32" t="inlineStr">
        <is>
          <t>2026-09-24T14:02:03</t>
        </is>
      </c>
    </row>
    <row r="240">
      <c r="A240" s="37" t="inlineStr">
        <is>
          <t>First Qlikview Report</t>
        </is>
      </c>
      <c r="B240" s="37" t="inlineStr">
        <is>
          <t>data/field_15</t>
        </is>
      </c>
      <c r="C240" s="37" t="inlineStr">
        <is>
          <t>qvapp_cfield</t>
        </is>
      </c>
      <c r="D240" s="37" t="inlineStr"/>
      <c r="E240" s="39" t="n">
        <v>238</v>
      </c>
      <c r="F240" s="37" t="inlineStr">
        <is>
          <t>2026-09-24T14:02:03</t>
        </is>
      </c>
    </row>
    <row r="241">
      <c r="A241" s="32" t="inlineStr">
        <is>
          <t>First Qlikview Report</t>
        </is>
      </c>
      <c r="B241" s="32" t="inlineStr">
        <is>
          <t>data/table_0</t>
        </is>
      </c>
      <c r="C241" s="32" t="inlineStr">
        <is>
          <t>qvapp_ctable</t>
        </is>
      </c>
      <c r="D241" s="32" t="inlineStr"/>
      <c r="E241" s="34" t="n">
        <v>739</v>
      </c>
      <c r="F241" s="32" t="inlineStr">
        <is>
          <t>2026-09-24T14:02:03</t>
        </is>
      </c>
    </row>
    <row r="242">
      <c r="A242" s="37" t="inlineStr">
        <is>
          <t>First Qlikview Report</t>
        </is>
      </c>
      <c r="B242" s="37" t="inlineStr">
        <is>
          <t>data/table_1</t>
        </is>
      </c>
      <c r="C242" s="37" t="inlineStr">
        <is>
          <t>qvapp_ctable</t>
        </is>
      </c>
      <c r="D242" s="37" t="inlineStr"/>
      <c r="E242" s="39" t="n">
        <v>173</v>
      </c>
      <c r="F242" s="37" t="inlineStr">
        <is>
          <t>2026-09-24T14:02:03</t>
        </is>
      </c>
    </row>
    <row r="243">
      <c r="A243" s="32" t="inlineStr">
        <is>
          <t>First Qlikview Report</t>
        </is>
      </c>
      <c r="B243" s="32" t="inlineStr">
        <is>
          <t>data/table_2</t>
        </is>
      </c>
      <c r="C243" s="32" t="inlineStr">
        <is>
          <t>qvapp_ctable</t>
        </is>
      </c>
      <c r="D243" s="32" t="inlineStr"/>
      <c r="E243" s="34" t="n">
        <v>127</v>
      </c>
      <c r="F243" s="32" t="inlineStr">
        <is>
          <t>2026-09-24T14:02:03</t>
        </is>
      </c>
    </row>
    <row r="244">
      <c r="A244" s="37" t="inlineStr">
        <is>
          <t>First Qlikview Report</t>
        </is>
      </c>
      <c r="B244" s="37" t="inlineStr">
        <is>
          <t>data/table_3</t>
        </is>
      </c>
      <c r="C244" s="37" t="inlineStr">
        <is>
          <t>qvapp_ctable</t>
        </is>
      </c>
      <c r="D244" s="37" t="inlineStr"/>
      <c r="E244" s="39" t="n">
        <v>123</v>
      </c>
      <c r="F244" s="37" t="inlineStr">
        <is>
          <t>2026-09-24T14:02:03</t>
        </is>
      </c>
    </row>
    <row r="245">
      <c r="A245" s="32" t="inlineStr">
        <is>
          <t>First Qlikview Report</t>
        </is>
      </c>
      <c r="B245" s="32" t="inlineStr">
        <is>
          <t>user_variablelist</t>
        </is>
      </c>
      <c r="C245" s="32" t="inlineStr">
        <is>
          <t>GenericVariableEntryList</t>
        </is>
      </c>
      <c r="D245" s="32" t="inlineStr">
        <is>
          <t>gzjson</t>
        </is>
      </c>
      <c r="E245" s="34" t="n">
        <v>81</v>
      </c>
      <c r="F245" s="32" t="inlineStr">
        <is>
          <t>2026-09-24T14:02:03</t>
        </is>
      </c>
    </row>
    <row r="246">
      <c r="A246" s="37" t="inlineStr">
        <is>
          <t>First Qlikview Report</t>
        </is>
      </c>
      <c r="B246" s="37" t="inlineStr">
        <is>
          <t>qvapp_variablelist</t>
        </is>
      </c>
      <c r="C246" s="37" t="inlineStr">
        <is>
          <t>GenericVariableEntryList</t>
        </is>
      </c>
      <c r="D246" s="37" t="inlineStr">
        <is>
          <t>gzjson</t>
        </is>
      </c>
      <c r="E246" s="39" t="n">
        <v>455</v>
      </c>
      <c r="F246" s="37" t="inlineStr">
        <is>
          <t>2026-09-24T14:02:03</t>
        </is>
      </c>
    </row>
    <row r="247">
      <c r="A247" s="32" t="inlineStr">
        <is>
          <t>First Qlikview Report</t>
        </is>
      </c>
      <c r="B247" s="32" t="inlineStr">
        <is>
          <t>qvapp_header</t>
        </is>
      </c>
      <c r="C247" s="32" t="inlineStr">
        <is>
          <t>qvapp_header</t>
        </is>
      </c>
      <c r="D247" s="32" t="inlineStr"/>
      <c r="E247" s="34" t="n">
        <v>183</v>
      </c>
      <c r="F247" s="32" t="inlineStr">
        <is>
          <t>2026-09-24T14:02:03</t>
        </is>
      </c>
    </row>
    <row r="248">
      <c r="A248" s="37" t="inlineStr">
        <is>
          <t>First Qlikview Report</t>
        </is>
      </c>
      <c r="B248" s="37" t="inlineStr">
        <is>
          <t>qvapp_allproperties</t>
        </is>
      </c>
      <c r="C248" s="37" t="inlineStr">
        <is>
          <t>AllProperties</t>
        </is>
      </c>
      <c r="D248" s="37" t="inlineStr">
        <is>
          <t>binary</t>
        </is>
      </c>
      <c r="E248" s="39" t="n">
        <v>142041</v>
      </c>
      <c r="F248" s="37" t="inlineStr">
        <is>
          <t>2026-09-24T14:02:03</t>
        </is>
      </c>
    </row>
    <row r="249">
      <c r="A249" s="32" t="inlineStr">
        <is>
          <t>First Qlikview Report</t>
        </is>
      </c>
      <c r="B249" s="32" t="inlineStr">
        <is>
          <t>qvapp_meta</t>
        </is>
      </c>
      <c r="C249" s="32" t="inlineStr">
        <is>
          <t>DataModelMetadata</t>
        </is>
      </c>
      <c r="D249" s="32" t="inlineStr">
        <is>
          <t>gzjson</t>
        </is>
      </c>
      <c r="E249" s="34" t="n">
        <v>1215</v>
      </c>
      <c r="F249" s="32" t="inlineStr">
        <is>
          <t>2026-09-24T14:02:03</t>
        </is>
      </c>
    </row>
    <row r="250">
      <c r="A250" s="37" t="inlineStr">
        <is>
          <t>First Qlikview Report</t>
        </is>
      </c>
      <c r="B250" s="37" t="inlineStr">
        <is>
          <t>qvapp_approperties</t>
        </is>
      </c>
      <c r="C250" s="37" t="inlineStr">
        <is>
          <t>NxAppProperties</t>
        </is>
      </c>
      <c r="D250" s="37" t="inlineStr">
        <is>
          <t>gzjson</t>
        </is>
      </c>
      <c r="E250" s="39" t="n">
        <v>137</v>
      </c>
      <c r="F250" s="37" t="inlineStr">
        <is>
          <t>2026-09-24T14:02:03</t>
        </is>
      </c>
    </row>
    <row r="251">
      <c r="A251" s="32" t="inlineStr">
        <is>
          <t>First Qlikview Report</t>
        </is>
      </c>
      <c r="B251" s="32" t="inlineStr">
        <is>
          <t>qvapp_derivedfieldlist</t>
        </is>
      </c>
      <c r="C251" s="32" t="inlineStr">
        <is>
          <t>GenericDerivedFieldEntryList</t>
        </is>
      </c>
      <c r="D251" s="32" t="inlineStr">
        <is>
          <t>gzjson</t>
        </is>
      </c>
      <c r="E251" s="34" t="n">
        <v>58</v>
      </c>
      <c r="F251" s="32" t="inlineStr">
        <is>
          <t>2026-09-24T14:02:03</t>
        </is>
      </c>
    </row>
    <row r="252">
      <c r="A252" s="37" t="inlineStr">
        <is>
          <t>First Qlikview Report</t>
        </is>
      </c>
      <c r="B252" s="37" t="inlineStr">
        <is>
          <t>qvapp_deriveddefinitionlist</t>
        </is>
      </c>
      <c r="C252" s="37" t="inlineStr">
        <is>
          <t>GenericDerivedDefinitionEntryList</t>
        </is>
      </c>
      <c r="D252" s="37" t="inlineStr">
        <is>
          <t>gzjson</t>
        </is>
      </c>
      <c r="E252" s="39" t="n">
        <v>58</v>
      </c>
      <c r="F252" s="37" t="inlineStr">
        <is>
          <t>2026-09-24T14:02:03</t>
        </is>
      </c>
    </row>
    <row r="253">
      <c r="A253" s="32" t="inlineStr">
        <is>
          <t>First Qlikview Report</t>
        </is>
      </c>
      <c r="B253" s="32" t="inlineStr">
        <is>
          <t>qvapp_data</t>
        </is>
      </c>
      <c r="C253" s="32" t="inlineStr">
        <is>
          <t>qvapp_cheader</t>
        </is>
      </c>
      <c r="D253" s="32" t="inlineStr"/>
      <c r="E253" s="34" t="n">
        <v>873</v>
      </c>
      <c r="F253" s="32" t="inlineStr">
        <is>
          <t>2026-09-24T14:02:03</t>
        </is>
      </c>
    </row>
    <row r="254">
      <c r="A254" s="37" t="inlineStr">
        <is>
          <t>First Qlikview Report</t>
        </is>
      </c>
      <c r="B254" s="37" t="inlineStr">
        <is>
          <t>qvapp_qaccess</t>
        </is>
      </c>
      <c r="C254" s="37" t="inlineStr">
        <is>
          <t>qvapp_data</t>
        </is>
      </c>
      <c r="D254" s="37" t="inlineStr"/>
      <c r="E254" s="39" t="n">
        <v>27</v>
      </c>
      <c r="F254" s="37" t="inlineStr">
        <is>
          <t>2026-09-24T14:02:03</t>
        </is>
      </c>
    </row>
    <row r="255">
      <c r="A255" s="32" t="inlineStr">
        <is>
          <t>Helpdesk Management</t>
        </is>
      </c>
      <c r="B255" s="32" t="inlineStr">
        <is>
          <t>qvapp_header</t>
        </is>
      </c>
      <c r="C255" s="32" t="inlineStr">
        <is>
          <t>qvapp_header</t>
        </is>
      </c>
      <c r="D255" s="32" t="inlineStr"/>
      <c r="E255" s="34" t="n">
        <v>193</v>
      </c>
      <c r="F255" s="32" t="inlineStr">
        <is>
          <t>2015-05-21T15:36:34</t>
        </is>
      </c>
    </row>
    <row r="256">
      <c r="A256" s="37" t="inlineStr">
        <is>
          <t>Helpdesk Management</t>
        </is>
      </c>
      <c r="B256" s="37" t="inlineStr">
        <is>
          <t>data/field_2</t>
        </is>
      </c>
      <c r="C256" s="37" t="inlineStr">
        <is>
          <t>qvapp_cfield</t>
        </is>
      </c>
      <c r="D256" s="37" t="inlineStr"/>
      <c r="E256" s="39" t="n">
        <v>199</v>
      </c>
      <c r="F256" s="37" t="inlineStr">
        <is>
          <t>2015-05-01T18:29:15</t>
        </is>
      </c>
    </row>
    <row r="257">
      <c r="A257" s="32" t="inlineStr">
        <is>
          <t>Helpdesk Management</t>
        </is>
      </c>
      <c r="B257" s="32" t="inlineStr">
        <is>
          <t>data/field_3</t>
        </is>
      </c>
      <c r="C257" s="32" t="inlineStr">
        <is>
          <t>qvapp_cfield</t>
        </is>
      </c>
      <c r="D257" s="32" t="inlineStr"/>
      <c r="E257" s="34" t="n">
        <v>198</v>
      </c>
      <c r="F257" s="32" t="inlineStr">
        <is>
          <t>2015-05-01T18:29:15</t>
        </is>
      </c>
    </row>
    <row r="258">
      <c r="A258" s="37" t="inlineStr">
        <is>
          <t>Helpdesk Management</t>
        </is>
      </c>
      <c r="B258" s="37" t="inlineStr">
        <is>
          <t>data/field_4</t>
        </is>
      </c>
      <c r="C258" s="37" t="inlineStr">
        <is>
          <t>qvapp_cfield</t>
        </is>
      </c>
      <c r="D258" s="37" t="inlineStr"/>
      <c r="E258" s="39" t="n">
        <v>241</v>
      </c>
      <c r="F258" s="37" t="inlineStr">
        <is>
          <t>2015-05-01T18:29:15</t>
        </is>
      </c>
    </row>
    <row r="259">
      <c r="A259" s="32" t="inlineStr">
        <is>
          <t>Helpdesk Management</t>
        </is>
      </c>
      <c r="B259" s="32" t="inlineStr">
        <is>
          <t>data/field_5</t>
        </is>
      </c>
      <c r="C259" s="32" t="inlineStr">
        <is>
          <t>qvapp_cfield</t>
        </is>
      </c>
      <c r="D259" s="32" t="inlineStr"/>
      <c r="E259" s="34" t="n">
        <v>185</v>
      </c>
      <c r="F259" s="32" t="inlineStr">
        <is>
          <t>2015-05-01T18:29:15</t>
        </is>
      </c>
    </row>
    <row r="260">
      <c r="A260" s="37" t="inlineStr">
        <is>
          <t>Helpdesk Management</t>
        </is>
      </c>
      <c r="B260" s="37" t="inlineStr">
        <is>
          <t>data/field_24</t>
        </is>
      </c>
      <c r="C260" s="37" t="inlineStr">
        <is>
          <t>qvapp_cfield</t>
        </is>
      </c>
      <c r="D260" s="37" t="inlineStr"/>
      <c r="E260" s="39" t="n">
        <v>2606</v>
      </c>
      <c r="F260" s="37" t="inlineStr">
        <is>
          <t>2015-05-01T18:29:15</t>
        </is>
      </c>
    </row>
    <row r="261">
      <c r="A261" s="32" t="inlineStr">
        <is>
          <t>Helpdesk Management</t>
        </is>
      </c>
      <c r="B261" s="32" t="inlineStr">
        <is>
          <t>data/field_1</t>
        </is>
      </c>
      <c r="C261" s="32" t="inlineStr">
        <is>
          <t>qvapp_cfield</t>
        </is>
      </c>
      <c r="D261" s="32" t="inlineStr"/>
      <c r="E261" s="34" t="n">
        <v>332</v>
      </c>
      <c r="F261" s="32" t="inlineStr">
        <is>
          <t>2015-05-01T18:29:15</t>
        </is>
      </c>
    </row>
    <row r="262">
      <c r="A262" s="37" t="inlineStr">
        <is>
          <t>Helpdesk Management</t>
        </is>
      </c>
      <c r="B262" s="37" t="inlineStr">
        <is>
          <t>data/table_0</t>
        </is>
      </c>
      <c r="C262" s="37" t="inlineStr">
        <is>
          <t>qvapp_ctable</t>
        </is>
      </c>
      <c r="D262" s="37" t="inlineStr"/>
      <c r="E262" s="39" t="n">
        <v>102986</v>
      </c>
      <c r="F262" s="37" t="inlineStr">
        <is>
          <t>2015-05-01T18:29:15</t>
        </is>
      </c>
    </row>
    <row r="263">
      <c r="A263" s="32" t="inlineStr">
        <is>
          <t>Helpdesk Management</t>
        </is>
      </c>
      <c r="B263" s="32" t="inlineStr">
        <is>
          <t>data/field_0</t>
        </is>
      </c>
      <c r="C263" s="32" t="inlineStr">
        <is>
          <t>qvapp_cfield</t>
        </is>
      </c>
      <c r="D263" s="32" t="inlineStr"/>
      <c r="E263" s="34" t="n">
        <v>449</v>
      </c>
      <c r="F263" s="32" t="inlineStr">
        <is>
          <t>2015-05-01T18:29:15</t>
        </is>
      </c>
    </row>
    <row r="264">
      <c r="A264" s="37" t="inlineStr">
        <is>
          <t>Helpdesk Management</t>
        </is>
      </c>
      <c r="B264" s="37" t="inlineStr">
        <is>
          <t>data/field_6</t>
        </is>
      </c>
      <c r="C264" s="37" t="inlineStr">
        <is>
          <t>qvapp_cfield</t>
        </is>
      </c>
      <c r="D264" s="37" t="inlineStr"/>
      <c r="E264" s="39" t="n">
        <v>26406</v>
      </c>
      <c r="F264" s="37" t="inlineStr">
        <is>
          <t>2015-05-01T18:29:15</t>
        </is>
      </c>
    </row>
    <row r="265">
      <c r="A265" s="32" t="inlineStr">
        <is>
          <t>Helpdesk Management</t>
        </is>
      </c>
      <c r="B265" s="32" t="inlineStr">
        <is>
          <t>data/field_7</t>
        </is>
      </c>
      <c r="C265" s="32" t="inlineStr">
        <is>
          <t>qvapp_cfield</t>
        </is>
      </c>
      <c r="D265" s="32" t="inlineStr"/>
      <c r="E265" s="34" t="n">
        <v>37010</v>
      </c>
      <c r="F265" s="32" t="inlineStr">
        <is>
          <t>2015-05-01T18:29:15</t>
        </is>
      </c>
    </row>
    <row r="266">
      <c r="A266" s="37" t="inlineStr">
        <is>
          <t>Helpdesk Management</t>
        </is>
      </c>
      <c r="B266" s="37" t="inlineStr">
        <is>
          <t>data/field_8</t>
        </is>
      </c>
      <c r="C266" s="37" t="inlineStr">
        <is>
          <t>qvapp_cfield</t>
        </is>
      </c>
      <c r="D266" s="37" t="inlineStr"/>
      <c r="E266" s="39" t="n">
        <v>188</v>
      </c>
      <c r="F266" s="37" t="inlineStr">
        <is>
          <t>2015-05-01T18:29:15</t>
        </is>
      </c>
    </row>
    <row r="267">
      <c r="A267" s="32" t="inlineStr">
        <is>
          <t>Helpdesk Management</t>
        </is>
      </c>
      <c r="B267" s="32" t="inlineStr">
        <is>
          <t>data/field_9</t>
        </is>
      </c>
      <c r="C267" s="32" t="inlineStr">
        <is>
          <t>qvapp_cfield</t>
        </is>
      </c>
      <c r="D267" s="32" t="inlineStr"/>
      <c r="E267" s="34" t="n">
        <v>25914</v>
      </c>
      <c r="F267" s="32" t="inlineStr">
        <is>
          <t>2015-05-01T18:29:15</t>
        </is>
      </c>
    </row>
    <row r="268">
      <c r="A268" s="37" t="inlineStr">
        <is>
          <t>Helpdesk Management</t>
        </is>
      </c>
      <c r="B268" s="37" t="inlineStr">
        <is>
          <t>data/field_10</t>
        </is>
      </c>
      <c r="C268" s="37" t="inlineStr">
        <is>
          <t>qvapp_cfield</t>
        </is>
      </c>
      <c r="D268" s="37" t="inlineStr"/>
      <c r="E268" s="39" t="n">
        <v>326</v>
      </c>
      <c r="F268" s="37" t="inlineStr">
        <is>
          <t>2015-05-01T18:29:15</t>
        </is>
      </c>
    </row>
    <row r="269">
      <c r="A269" s="32" t="inlineStr">
        <is>
          <t>Helpdesk Management</t>
        </is>
      </c>
      <c r="B269" s="32" t="inlineStr">
        <is>
          <t>data/field_11</t>
        </is>
      </c>
      <c r="C269" s="32" t="inlineStr">
        <is>
          <t>qvapp_cfield</t>
        </is>
      </c>
      <c r="D269" s="32" t="inlineStr"/>
      <c r="E269" s="34" t="n">
        <v>202</v>
      </c>
      <c r="F269" s="32" t="inlineStr">
        <is>
          <t>2015-05-01T18:29:15</t>
        </is>
      </c>
    </row>
    <row r="270">
      <c r="A270" s="37" t="inlineStr">
        <is>
          <t>Helpdesk Management</t>
        </is>
      </c>
      <c r="B270" s="37" t="inlineStr">
        <is>
          <t>data/field_12</t>
        </is>
      </c>
      <c r="C270" s="37" t="inlineStr">
        <is>
          <t>qvapp_cfield</t>
        </is>
      </c>
      <c r="D270" s="37" t="inlineStr"/>
      <c r="E270" s="39" t="n">
        <v>206</v>
      </c>
      <c r="F270" s="37" t="inlineStr">
        <is>
          <t>2015-05-01T18:29:15</t>
        </is>
      </c>
    </row>
    <row r="271">
      <c r="A271" s="32" t="inlineStr">
        <is>
          <t>Helpdesk Management</t>
        </is>
      </c>
      <c r="B271" s="32" t="inlineStr">
        <is>
          <t>data/field_13</t>
        </is>
      </c>
      <c r="C271" s="32" t="inlineStr">
        <is>
          <t>qvapp_cfield</t>
        </is>
      </c>
      <c r="D271" s="32" t="inlineStr"/>
      <c r="E271" s="34" t="n">
        <v>195</v>
      </c>
      <c r="F271" s="32" t="inlineStr">
        <is>
          <t>2015-05-01T18:29:15</t>
        </is>
      </c>
    </row>
    <row r="272">
      <c r="A272" s="37" t="inlineStr">
        <is>
          <t>Helpdesk Management</t>
        </is>
      </c>
      <c r="B272" s="37" t="inlineStr">
        <is>
          <t>data/field_14</t>
        </is>
      </c>
      <c r="C272" s="37" t="inlineStr">
        <is>
          <t>qvapp_cfield</t>
        </is>
      </c>
      <c r="D272" s="37" t="inlineStr"/>
      <c r="E272" s="39" t="n">
        <v>196</v>
      </c>
      <c r="F272" s="37" t="inlineStr">
        <is>
          <t>2015-05-01T18:29:15</t>
        </is>
      </c>
    </row>
    <row r="273">
      <c r="A273" s="32" t="inlineStr">
        <is>
          <t>Helpdesk Management</t>
        </is>
      </c>
      <c r="B273" s="32" t="inlineStr">
        <is>
          <t>data/field_15</t>
        </is>
      </c>
      <c r="C273" s="32" t="inlineStr">
        <is>
          <t>qvapp_cfield</t>
        </is>
      </c>
      <c r="D273" s="32" t="inlineStr"/>
      <c r="E273" s="34" t="n">
        <v>4331</v>
      </c>
      <c r="F273" s="32" t="inlineStr">
        <is>
          <t>2015-05-01T18:29:15</t>
        </is>
      </c>
    </row>
    <row r="274">
      <c r="A274" s="37" t="inlineStr">
        <is>
          <t>Helpdesk Management</t>
        </is>
      </c>
      <c r="B274" s="37" t="inlineStr">
        <is>
          <t>data/field_16</t>
        </is>
      </c>
      <c r="C274" s="37" t="inlineStr">
        <is>
          <t>qvapp_cfield</t>
        </is>
      </c>
      <c r="D274" s="37" t="inlineStr"/>
      <c r="E274" s="39" t="n">
        <v>205</v>
      </c>
      <c r="F274" s="37" t="inlineStr">
        <is>
          <t>2015-05-01T18:29:15</t>
        </is>
      </c>
    </row>
    <row r="275">
      <c r="A275" s="32" t="inlineStr">
        <is>
          <t>Helpdesk Management</t>
        </is>
      </c>
      <c r="B275" s="32" t="inlineStr">
        <is>
          <t>data/field_17</t>
        </is>
      </c>
      <c r="C275" s="32" t="inlineStr">
        <is>
          <t>qvapp_cfield</t>
        </is>
      </c>
      <c r="D275" s="32" t="inlineStr"/>
      <c r="E275" s="34" t="n">
        <v>59516</v>
      </c>
      <c r="F275" s="32" t="inlineStr">
        <is>
          <t>2015-05-01T18:29:15</t>
        </is>
      </c>
    </row>
    <row r="276">
      <c r="A276" s="37" t="inlineStr">
        <is>
          <t>Helpdesk Management</t>
        </is>
      </c>
      <c r="B276" s="37" t="inlineStr">
        <is>
          <t>data/field_18</t>
        </is>
      </c>
      <c r="C276" s="37" t="inlineStr">
        <is>
          <t>qvapp_cfield</t>
        </is>
      </c>
      <c r="D276" s="37" t="inlineStr"/>
      <c r="E276" s="39" t="n">
        <v>58249</v>
      </c>
      <c r="F276" s="37" t="inlineStr">
        <is>
          <t>2015-05-01T18:29:15</t>
        </is>
      </c>
    </row>
    <row r="277">
      <c r="A277" s="32" t="inlineStr">
        <is>
          <t>Helpdesk Management</t>
        </is>
      </c>
      <c r="B277" s="32" t="inlineStr">
        <is>
          <t>data/field_19</t>
        </is>
      </c>
      <c r="C277" s="32" t="inlineStr">
        <is>
          <t>qvapp_cfield</t>
        </is>
      </c>
      <c r="D277" s="32" t="inlineStr"/>
      <c r="E277" s="34" t="n">
        <v>242</v>
      </c>
      <c r="F277" s="32" t="inlineStr">
        <is>
          <t>2015-05-01T18:29:15</t>
        </is>
      </c>
    </row>
    <row r="278">
      <c r="A278" s="37" t="inlineStr">
        <is>
          <t>Helpdesk Management</t>
        </is>
      </c>
      <c r="B278" s="37" t="inlineStr">
        <is>
          <t>data/field_20</t>
        </is>
      </c>
      <c r="C278" s="37" t="inlineStr">
        <is>
          <t>qvapp_cfield</t>
        </is>
      </c>
      <c r="D278" s="37" t="inlineStr"/>
      <c r="E278" s="39" t="n">
        <v>206</v>
      </c>
      <c r="F278" s="37" t="inlineStr">
        <is>
          <t>2015-05-01T18:29:15</t>
        </is>
      </c>
    </row>
    <row r="279">
      <c r="A279" s="32" t="inlineStr">
        <is>
          <t>Helpdesk Management</t>
        </is>
      </c>
      <c r="B279" s="32" t="inlineStr">
        <is>
          <t>data/field_21</t>
        </is>
      </c>
      <c r="C279" s="32" t="inlineStr">
        <is>
          <t>qvapp_cfield</t>
        </is>
      </c>
      <c r="D279" s="32" t="inlineStr"/>
      <c r="E279" s="34" t="n">
        <v>237</v>
      </c>
      <c r="F279" s="32" t="inlineStr">
        <is>
          <t>2015-05-01T18:29:15</t>
        </is>
      </c>
    </row>
    <row r="280">
      <c r="A280" s="37" t="inlineStr">
        <is>
          <t>Helpdesk Management</t>
        </is>
      </c>
      <c r="B280" s="37" t="inlineStr">
        <is>
          <t>data/field_22</t>
        </is>
      </c>
      <c r="C280" s="37" t="inlineStr">
        <is>
          <t>qvapp_cfield</t>
        </is>
      </c>
      <c r="D280" s="37" t="inlineStr"/>
      <c r="E280" s="39" t="n">
        <v>81484</v>
      </c>
      <c r="F280" s="37" t="inlineStr">
        <is>
          <t>2015-05-01T18:29:15</t>
        </is>
      </c>
    </row>
    <row r="281">
      <c r="A281" s="32" t="inlineStr">
        <is>
          <t>Helpdesk Management</t>
        </is>
      </c>
      <c r="B281" s="32" t="inlineStr">
        <is>
          <t>data/field_23</t>
        </is>
      </c>
      <c r="C281" s="32" t="inlineStr">
        <is>
          <t>qvapp_cfield</t>
        </is>
      </c>
      <c r="D281" s="32" t="inlineStr"/>
      <c r="E281" s="34" t="n">
        <v>352</v>
      </c>
      <c r="F281" s="32" t="inlineStr">
        <is>
          <t>2015-05-01T18:29:15</t>
        </is>
      </c>
    </row>
    <row r="282">
      <c r="A282" s="37" t="inlineStr">
        <is>
          <t>Helpdesk Management</t>
        </is>
      </c>
      <c r="B282" s="37" t="inlineStr">
        <is>
          <t>data/field_25</t>
        </is>
      </c>
      <c r="C282" s="37" t="inlineStr">
        <is>
          <t>qvapp_cfield</t>
        </is>
      </c>
      <c r="D282" s="37" t="inlineStr"/>
      <c r="E282" s="39" t="n">
        <v>1664</v>
      </c>
      <c r="F282" s="37" t="inlineStr">
        <is>
          <t>2015-05-01T18:29:15</t>
        </is>
      </c>
    </row>
    <row r="283">
      <c r="A283" s="32" t="inlineStr">
        <is>
          <t>Helpdesk Management</t>
        </is>
      </c>
      <c r="B283" s="32" t="inlineStr">
        <is>
          <t>data/field_26</t>
        </is>
      </c>
      <c r="C283" s="32" t="inlineStr">
        <is>
          <t>qvapp_cfield</t>
        </is>
      </c>
      <c r="D283" s="32" t="inlineStr"/>
      <c r="E283" s="34" t="n">
        <v>574</v>
      </c>
      <c r="F283" s="32" t="inlineStr">
        <is>
          <t>2015-05-01T18:29:15</t>
        </is>
      </c>
    </row>
    <row r="284">
      <c r="A284" s="37" t="inlineStr">
        <is>
          <t>Helpdesk Management</t>
        </is>
      </c>
      <c r="B284" s="37" t="inlineStr">
        <is>
          <t>data/field_27</t>
        </is>
      </c>
      <c r="C284" s="37" t="inlineStr">
        <is>
          <t>qvapp_cfield</t>
        </is>
      </c>
      <c r="D284" s="37" t="inlineStr"/>
      <c r="E284" s="39" t="n">
        <v>255</v>
      </c>
      <c r="F284" s="37" t="inlineStr">
        <is>
          <t>2015-05-01T18:29:15</t>
        </is>
      </c>
    </row>
    <row r="285">
      <c r="A285" s="32" t="inlineStr">
        <is>
          <t>Helpdesk Management</t>
        </is>
      </c>
      <c r="B285" s="32" t="inlineStr">
        <is>
          <t>data/field_28</t>
        </is>
      </c>
      <c r="C285" s="32" t="inlineStr">
        <is>
          <t>qvapp_cfield</t>
        </is>
      </c>
      <c r="D285" s="32" t="inlineStr"/>
      <c r="E285" s="34" t="n">
        <v>311</v>
      </c>
      <c r="F285" s="32" t="inlineStr">
        <is>
          <t>2015-05-01T18:29:15</t>
        </is>
      </c>
    </row>
    <row r="286">
      <c r="A286" s="37" t="inlineStr">
        <is>
          <t>Helpdesk Management</t>
        </is>
      </c>
      <c r="B286" s="37" t="inlineStr">
        <is>
          <t>data/field_29</t>
        </is>
      </c>
      <c r="C286" s="37" t="inlineStr">
        <is>
          <t>qvapp_cfield</t>
        </is>
      </c>
      <c r="D286" s="37" t="inlineStr"/>
      <c r="E286" s="39" t="n">
        <v>203</v>
      </c>
      <c r="F286" s="37" t="inlineStr">
        <is>
          <t>2015-05-01T18:29:15</t>
        </is>
      </c>
    </row>
    <row r="287">
      <c r="A287" s="32" t="inlineStr">
        <is>
          <t>Helpdesk Management</t>
        </is>
      </c>
      <c r="B287" s="32" t="inlineStr">
        <is>
          <t>data/field_30</t>
        </is>
      </c>
      <c r="C287" s="32" t="inlineStr">
        <is>
          <t>qvapp_cfield</t>
        </is>
      </c>
      <c r="D287" s="32" t="inlineStr"/>
      <c r="E287" s="34" t="n">
        <v>415</v>
      </c>
      <c r="F287" s="32" t="inlineStr">
        <is>
          <t>2015-05-01T18:29:15</t>
        </is>
      </c>
    </row>
    <row r="288">
      <c r="A288" s="37" t="inlineStr">
        <is>
          <t>Helpdesk Management</t>
        </is>
      </c>
      <c r="B288" s="37" t="inlineStr">
        <is>
          <t>data/field_31</t>
        </is>
      </c>
      <c r="C288" s="37" t="inlineStr">
        <is>
          <t>qvapp_cfield</t>
        </is>
      </c>
      <c r="D288" s="37" t="inlineStr"/>
      <c r="E288" s="39" t="n">
        <v>474</v>
      </c>
      <c r="F288" s="37" t="inlineStr">
        <is>
          <t>2015-05-01T18:29:15</t>
        </is>
      </c>
    </row>
    <row r="289">
      <c r="A289" s="32" t="inlineStr">
        <is>
          <t>Helpdesk Management</t>
        </is>
      </c>
      <c r="B289" s="32" t="inlineStr">
        <is>
          <t>data/field_32</t>
        </is>
      </c>
      <c r="C289" s="32" t="inlineStr">
        <is>
          <t>qvapp_cfield</t>
        </is>
      </c>
      <c r="D289" s="32" t="inlineStr"/>
      <c r="E289" s="34" t="n">
        <v>380</v>
      </c>
      <c r="F289" s="32" t="inlineStr">
        <is>
          <t>2015-05-01T18:29:15</t>
        </is>
      </c>
    </row>
    <row r="290">
      <c r="A290" s="37" t="inlineStr">
        <is>
          <t>Helpdesk Management</t>
        </is>
      </c>
      <c r="B290" s="37" t="inlineStr">
        <is>
          <t>data/field_33</t>
        </is>
      </c>
      <c r="C290" s="37" t="inlineStr">
        <is>
          <t>qvapp_cfield</t>
        </is>
      </c>
      <c r="D290" s="37" t="inlineStr"/>
      <c r="E290" s="39" t="n">
        <v>283</v>
      </c>
      <c r="F290" s="37" t="inlineStr">
        <is>
          <t>2015-05-01T18:29:15</t>
        </is>
      </c>
    </row>
    <row r="291">
      <c r="A291" s="32" t="inlineStr">
        <is>
          <t>Helpdesk Management</t>
        </is>
      </c>
      <c r="B291" s="32" t="inlineStr">
        <is>
          <t>data/field_34</t>
        </is>
      </c>
      <c r="C291" s="32" t="inlineStr">
        <is>
          <t>qvapp_cfield</t>
        </is>
      </c>
      <c r="D291" s="32" t="inlineStr"/>
      <c r="E291" s="34" t="n">
        <v>249</v>
      </c>
      <c r="F291" s="32" t="inlineStr">
        <is>
          <t>2015-05-01T18:29:15</t>
        </is>
      </c>
    </row>
    <row r="292">
      <c r="A292" s="37" t="inlineStr">
        <is>
          <t>Helpdesk Management</t>
        </is>
      </c>
      <c r="B292" s="37" t="inlineStr">
        <is>
          <t>data/field_35</t>
        </is>
      </c>
      <c r="C292" s="37" t="inlineStr">
        <is>
          <t>qvapp_cfield</t>
        </is>
      </c>
      <c r="D292" s="37" t="inlineStr"/>
      <c r="E292" s="39" t="n">
        <v>202</v>
      </c>
      <c r="F292" s="37" t="inlineStr">
        <is>
          <t>2015-05-01T18:29:15</t>
        </is>
      </c>
    </row>
    <row r="293">
      <c r="A293" s="32" t="inlineStr">
        <is>
          <t>Helpdesk Management</t>
        </is>
      </c>
      <c r="B293" s="32" t="inlineStr">
        <is>
          <t>data/field_36</t>
        </is>
      </c>
      <c r="C293" s="32" t="inlineStr">
        <is>
          <t>qvapp_cfield</t>
        </is>
      </c>
      <c r="D293" s="32" t="inlineStr"/>
      <c r="E293" s="34" t="n">
        <v>200</v>
      </c>
      <c r="F293" s="32" t="inlineStr">
        <is>
          <t>2015-05-01T18:29:15</t>
        </is>
      </c>
    </row>
    <row r="294">
      <c r="A294" s="37" t="inlineStr">
        <is>
          <t>Helpdesk Management</t>
        </is>
      </c>
      <c r="B294" s="37" t="inlineStr">
        <is>
          <t>data/field_37</t>
        </is>
      </c>
      <c r="C294" s="37" t="inlineStr">
        <is>
          <t>qvapp_cfield</t>
        </is>
      </c>
      <c r="D294" s="37" t="inlineStr"/>
      <c r="E294" s="39" t="n">
        <v>392</v>
      </c>
      <c r="F294" s="37" t="inlineStr">
        <is>
          <t>2015-05-01T18:29:15</t>
        </is>
      </c>
    </row>
    <row r="295">
      <c r="A295" s="32" t="inlineStr">
        <is>
          <t>Helpdesk Management</t>
        </is>
      </c>
      <c r="B295" s="32" t="inlineStr">
        <is>
          <t>data/field_38</t>
        </is>
      </c>
      <c r="C295" s="32" t="inlineStr">
        <is>
          <t>qvapp_cfield</t>
        </is>
      </c>
      <c r="D295" s="32" t="inlineStr"/>
      <c r="E295" s="34" t="n">
        <v>376</v>
      </c>
      <c r="F295" s="32" t="inlineStr">
        <is>
          <t>2015-05-01T18:29:15</t>
        </is>
      </c>
    </row>
    <row r="296">
      <c r="A296" s="37" t="inlineStr">
        <is>
          <t>Helpdesk Management</t>
        </is>
      </c>
      <c r="B296" s="37" t="inlineStr">
        <is>
          <t>data/table_1</t>
        </is>
      </c>
      <c r="C296" s="37" t="inlineStr">
        <is>
          <t>qvapp_ctable</t>
        </is>
      </c>
      <c r="D296" s="37" t="inlineStr"/>
      <c r="E296" s="39" t="n">
        <v>33990</v>
      </c>
      <c r="F296" s="37" t="inlineStr">
        <is>
          <t>2015-05-01T18:29:15</t>
        </is>
      </c>
    </row>
    <row r="297">
      <c r="A297" s="32" t="inlineStr">
        <is>
          <t>Helpdesk Management</t>
        </is>
      </c>
      <c r="B297" s="32" t="inlineStr">
        <is>
          <t>data/table_2</t>
        </is>
      </c>
      <c r="C297" s="32" t="inlineStr">
        <is>
          <t>qvapp_ctable</t>
        </is>
      </c>
      <c r="D297" s="32" t="inlineStr"/>
      <c r="E297" s="34" t="n">
        <v>1212</v>
      </c>
      <c r="F297" s="32" t="inlineStr">
        <is>
          <t>2015-05-01T18:29:15</t>
        </is>
      </c>
    </row>
    <row r="298">
      <c r="A298" s="37" t="inlineStr">
        <is>
          <t>Helpdesk Management</t>
        </is>
      </c>
      <c r="B298" s="37" t="inlineStr">
        <is>
          <t>data/table_3</t>
        </is>
      </c>
      <c r="C298" s="37" t="inlineStr">
        <is>
          <t>qvapp_ctable</t>
        </is>
      </c>
      <c r="D298" s="37" t="inlineStr"/>
      <c r="E298" s="39" t="n">
        <v>237</v>
      </c>
      <c r="F298" s="37" t="inlineStr">
        <is>
          <t>2015-05-01T18:29:15</t>
        </is>
      </c>
    </row>
    <row r="299">
      <c r="A299" s="32" t="inlineStr">
        <is>
          <t>Helpdesk Management</t>
        </is>
      </c>
      <c r="B299" s="32" t="inlineStr">
        <is>
          <t>data/table_4</t>
        </is>
      </c>
      <c r="C299" s="32" t="inlineStr">
        <is>
          <t>qvapp_ctable</t>
        </is>
      </c>
      <c r="D299" s="32" t="inlineStr"/>
      <c r="E299" s="34" t="n">
        <v>184</v>
      </c>
      <c r="F299" s="32" t="inlineStr">
        <is>
          <t>2015-05-01T18:29:15</t>
        </is>
      </c>
    </row>
    <row r="300">
      <c r="A300" s="37" t="inlineStr">
        <is>
          <t>Helpdesk Management</t>
        </is>
      </c>
      <c r="B300" s="37" t="inlineStr">
        <is>
          <t>data/table_5</t>
        </is>
      </c>
      <c r="C300" s="37" t="inlineStr">
        <is>
          <t>qvapp_ctable</t>
        </is>
      </c>
      <c r="D300" s="37" t="inlineStr"/>
      <c r="E300" s="39" t="n">
        <v>144</v>
      </c>
      <c r="F300" s="37" t="inlineStr">
        <is>
          <t>2015-05-01T18:29:15</t>
        </is>
      </c>
    </row>
    <row r="301">
      <c r="A301" s="32" t="inlineStr">
        <is>
          <t>Helpdesk Management</t>
        </is>
      </c>
      <c r="B301" s="32" t="inlineStr">
        <is>
          <t>qvapp_allproperties</t>
        </is>
      </c>
      <c r="C301" s="32" t="inlineStr">
        <is>
          <t>AllProperties</t>
        </is>
      </c>
      <c r="D301" s="32" t="inlineStr"/>
      <c r="E301" s="34" t="n">
        <v>987648</v>
      </c>
      <c r="F301" s="32" t="inlineStr">
        <is>
          <t>2015-11-07T21:33:42</t>
        </is>
      </c>
    </row>
    <row r="302">
      <c r="A302" s="37" t="inlineStr">
        <is>
          <t>Helpdesk Management</t>
        </is>
      </c>
      <c r="B302" s="37" t="inlineStr">
        <is>
          <t>qvapp_qaccess</t>
        </is>
      </c>
      <c r="C302" s="37" t="inlineStr">
        <is>
          <t>qvapp_data</t>
        </is>
      </c>
      <c r="D302" s="37" t="inlineStr"/>
      <c r="E302" s="39" t="n">
        <v>512</v>
      </c>
      <c r="F302" s="37" t="inlineStr">
        <is>
          <t>2015-05-21T15:36:34</t>
        </is>
      </c>
    </row>
    <row r="303">
      <c r="A303" s="32" t="inlineStr">
        <is>
          <t>Helpdesk Management</t>
        </is>
      </c>
      <c r="B303" s="32" t="inlineStr">
        <is>
          <t>qvapp_data</t>
        </is>
      </c>
      <c r="C303" s="32" t="inlineStr">
        <is>
          <t>qvapp_cheader</t>
        </is>
      </c>
      <c r="D303" s="32" t="inlineStr"/>
      <c r="E303" s="34" t="n">
        <v>3321</v>
      </c>
      <c r="F303" s="32" t="inlineStr">
        <is>
          <t>2015-05-21T15:31:18</t>
        </is>
      </c>
    </row>
    <row r="304">
      <c r="A304" s="37" t="inlineStr">
        <is>
          <t>Helpdesk Management</t>
        </is>
      </c>
      <c r="B304" s="37" t="inlineStr">
        <is>
          <t>TnmRpt</t>
        </is>
      </c>
      <c r="C304" s="37" t="inlineStr">
        <is>
          <t>GenericBookmarkEntry</t>
        </is>
      </c>
      <c r="D304" s="37" t="inlineStr"/>
      <c r="E304" s="39" t="n">
        <v>1536</v>
      </c>
      <c r="F304" s="37" t="inlineStr">
        <is>
          <t>2015-11-07T21:33:41</t>
        </is>
      </c>
    </row>
    <row r="305">
      <c r="A305" s="32" t="inlineStr">
        <is>
          <t>Helpdesk Management</t>
        </is>
      </c>
      <c r="B305" s="32" t="inlineStr">
        <is>
          <t>wpUyjc</t>
        </is>
      </c>
      <c r="C305" s="32" t="inlineStr">
        <is>
          <t>GenericDimensionProperties</t>
        </is>
      </c>
      <c r="D305" s="32" t="inlineStr"/>
      <c r="E305" s="34" t="n">
        <v>1536</v>
      </c>
      <c r="F305" s="32" t="inlineStr">
        <is>
          <t>2015-11-07T21:33:41</t>
        </is>
      </c>
    </row>
    <row r="306">
      <c r="A306" s="37" t="inlineStr">
        <is>
          <t>Helpdesk Management</t>
        </is>
      </c>
      <c r="B306" s="37" t="inlineStr">
        <is>
          <t>nmnRv</t>
        </is>
      </c>
      <c r="C306" s="37" t="inlineStr">
        <is>
          <t>GenericMeasureProperties</t>
        </is>
      </c>
      <c r="D306" s="37" t="inlineStr"/>
      <c r="E306" s="39" t="n">
        <v>512</v>
      </c>
      <c r="F306" s="37" t="inlineStr">
        <is>
          <t>2015-11-07T21:33:41</t>
        </is>
      </c>
    </row>
    <row r="307">
      <c r="A307" s="32" t="inlineStr">
        <is>
          <t>Helpdesk Management</t>
        </is>
      </c>
      <c r="B307" s="32" t="inlineStr">
        <is>
          <t>PXChPe</t>
        </is>
      </c>
      <c r="C307" s="32" t="inlineStr">
        <is>
          <t>GenericMeasureProperties</t>
        </is>
      </c>
      <c r="D307" s="32" t="inlineStr"/>
      <c r="E307" s="34" t="n">
        <v>512</v>
      </c>
      <c r="F307" s="32" t="inlineStr">
        <is>
          <t>2015-11-07T21:33:41</t>
        </is>
      </c>
    </row>
    <row r="308">
      <c r="A308" s="37" t="inlineStr">
        <is>
          <t>Helpdesk Management</t>
        </is>
      </c>
      <c r="B308" s="37" t="inlineStr">
        <is>
          <t>FCzjwjd</t>
        </is>
      </c>
      <c r="C308" s="37" t="inlineStr">
        <is>
          <t>GenericMeasureProperties</t>
        </is>
      </c>
      <c r="D308" s="37" t="inlineStr"/>
      <c r="E308" s="39" t="n">
        <v>512</v>
      </c>
      <c r="F308" s="37" t="inlineStr">
        <is>
          <t>2015-11-07T21:33:41</t>
        </is>
      </c>
    </row>
    <row r="309">
      <c r="A309" s="32" t="inlineStr">
        <is>
          <t>Helpdesk Management</t>
        </is>
      </c>
      <c r="B309" s="32" t="inlineStr">
        <is>
          <t>media/6de962a1-f681-4277-a7cc-a518ce395e42/apppages-helpdeskmgmt_3.jpg</t>
        </is>
      </c>
      <c r="C309" s="32" t="inlineStr">
        <is>
          <t>NxQvfBundledItem</t>
        </is>
      </c>
      <c r="D309" s="32" t="inlineStr"/>
      <c r="E309" s="34" t="n">
        <v>7501</v>
      </c>
      <c r="F309" s="32" t="inlineStr">
        <is>
          <t>2015-05-20T19:45:41</t>
        </is>
      </c>
    </row>
    <row r="310">
      <c r="A310" s="37" t="inlineStr">
        <is>
          <t>Helpdesk Management</t>
        </is>
      </c>
      <c r="B310" s="37" t="inlineStr">
        <is>
          <t>media/088c2974-7782-4b3a-976d-634e1c6204f2/apppages-helpdeskmgmt_2.jpg</t>
        </is>
      </c>
      <c r="C310" s="37" t="inlineStr">
        <is>
          <t>NxQvfBundledItem</t>
        </is>
      </c>
      <c r="D310" s="37" t="inlineStr"/>
      <c r="E310" s="39" t="n">
        <v>9607</v>
      </c>
      <c r="F310" s="37" t="inlineStr">
        <is>
          <t>2015-05-20T19:45:41</t>
        </is>
      </c>
    </row>
    <row r="311">
      <c r="A311" s="32" t="inlineStr">
        <is>
          <t>Helpdesk Management</t>
        </is>
      </c>
      <c r="B311" s="32" t="inlineStr">
        <is>
          <t>media/9a4a9a67-921a-4401-a6ef-adfc729022e0/apppages-helpdeskmgmt_1.jpg</t>
        </is>
      </c>
      <c r="C311" s="32" t="inlineStr">
        <is>
          <t>NxQvfBundledItem</t>
        </is>
      </c>
      <c r="D311" s="32" t="inlineStr"/>
      <c r="E311" s="34" t="n">
        <v>10096</v>
      </c>
      <c r="F311" s="32" t="inlineStr">
        <is>
          <t>2015-05-20T19:45:41</t>
        </is>
      </c>
    </row>
    <row r="312">
      <c r="A312" s="37" t="inlineStr">
        <is>
          <t>Helpdesk Management</t>
        </is>
      </c>
      <c r="B312" s="37" t="inlineStr">
        <is>
          <t>media/53e59818-bf3a-46e4-9d64-1a30377263c9/storytelling-helpdeskmgmt_1.jpg</t>
        </is>
      </c>
      <c r="C312" s="37" t="inlineStr">
        <is>
          <t>NxQvfBundledItem</t>
        </is>
      </c>
      <c r="D312" s="37" t="inlineStr"/>
      <c r="E312" s="39" t="n">
        <v>5769</v>
      </c>
      <c r="F312" s="37" t="inlineStr">
        <is>
          <t>2015-05-20T19:46:46</t>
        </is>
      </c>
    </row>
    <row r="313">
      <c r="A313" s="32" t="inlineStr">
        <is>
          <t>Helpdesk Management</t>
        </is>
      </c>
      <c r="B313" s="32" t="inlineStr">
        <is>
          <t>media/3f44a200-4710-4c96-8ae5-8f735ddf5958/helpdesk-management.jpg</t>
        </is>
      </c>
      <c r="C313" s="32" t="inlineStr">
        <is>
          <t>NxQvfBundledItem</t>
        </is>
      </c>
      <c r="D313" s="32" t="inlineStr"/>
      <c r="E313" s="34" t="n">
        <v>19339</v>
      </c>
      <c r="F313" s="32" t="inlineStr">
        <is>
          <t>2015-05-21T15:31:18</t>
        </is>
      </c>
    </row>
    <row r="314">
      <c r="A314" s="37" t="inlineStr">
        <is>
          <t>Helpdesk Management</t>
        </is>
      </c>
      <c r="B314" s="37" t="inlineStr">
        <is>
          <t>a8e13766-33a3-404e-869e-e220aec58991</t>
        </is>
      </c>
      <c r="C314" s="37" t="inlineStr">
        <is>
          <t>GenericBookmarkEntry</t>
        </is>
      </c>
      <c r="D314" s="37" t="inlineStr"/>
      <c r="E314" s="39" t="n">
        <v>3072</v>
      </c>
      <c r="F314" s="37" t="inlineStr">
        <is>
          <t>2015-11-07T21:33:41</t>
        </is>
      </c>
    </row>
    <row r="315">
      <c r="A315" s="32" t="inlineStr">
        <is>
          <t>Helpdesk Management</t>
        </is>
      </c>
      <c r="B315" s="32" t="inlineStr">
        <is>
          <t>VjQtmv</t>
        </is>
      </c>
      <c r="C315" s="32" t="inlineStr">
        <is>
          <t>GenericBookmarkEntry</t>
        </is>
      </c>
      <c r="D315" s="32" t="inlineStr"/>
      <c r="E315" s="34" t="n">
        <v>2048</v>
      </c>
      <c r="F315" s="32" t="inlineStr">
        <is>
          <t>2015-11-07T21:33:41</t>
        </is>
      </c>
    </row>
    <row r="316">
      <c r="A316" s="37" t="inlineStr">
        <is>
          <t>Helpdesk Management</t>
        </is>
      </c>
      <c r="B316" s="37" t="inlineStr">
        <is>
          <t>fmPtU</t>
        </is>
      </c>
      <c r="C316" s="37" t="inlineStr">
        <is>
          <t>GenericBookmarkEntry</t>
        </is>
      </c>
      <c r="D316" s="37" t="inlineStr"/>
      <c r="E316" s="39" t="n">
        <v>2560</v>
      </c>
      <c r="F316" s="37" t="inlineStr">
        <is>
          <t>2015-11-07T21:33:41</t>
        </is>
      </c>
    </row>
    <row r="317">
      <c r="A317" s="32" t="inlineStr">
        <is>
          <t>Helpdesk Management</t>
        </is>
      </c>
      <c r="B317" s="32" t="inlineStr">
        <is>
          <t>gsUbn</t>
        </is>
      </c>
      <c r="C317" s="32" t="inlineStr">
        <is>
          <t>GenericBookmarkEntry</t>
        </is>
      </c>
      <c r="D317" s="32" t="inlineStr"/>
      <c r="E317" s="34" t="n">
        <v>1536</v>
      </c>
      <c r="F317" s="32" t="inlineStr">
        <is>
          <t>2015-11-07T21:33:41</t>
        </is>
      </c>
    </row>
    <row r="318">
      <c r="A318" s="37" t="inlineStr">
        <is>
          <t>Helpdesk Management</t>
        </is>
      </c>
      <c r="B318" s="37" t="inlineStr">
        <is>
          <t>VkcYvCR</t>
        </is>
      </c>
      <c r="C318" s="37" t="inlineStr">
        <is>
          <t>GenericAppObjectEntry</t>
        </is>
      </c>
      <c r="D318" s="37" t="inlineStr"/>
      <c r="E318" s="39" t="n">
        <v>2048</v>
      </c>
      <c r="F318" s="37" t="inlineStr">
        <is>
          <t>2015-11-07T21:33:41</t>
        </is>
      </c>
    </row>
    <row r="319">
      <c r="A319" s="32" t="inlineStr">
        <is>
          <t>Helpdesk Management</t>
        </is>
      </c>
      <c r="B319" s="32" t="inlineStr">
        <is>
          <t>RBBKJP</t>
        </is>
      </c>
      <c r="C319" s="32" t="inlineStr">
        <is>
          <t>GenericDimensionProperties</t>
        </is>
      </c>
      <c r="D319" s="32" t="inlineStr"/>
      <c r="E319" s="34" t="n">
        <v>1536</v>
      </c>
      <c r="F319" s="32" t="inlineStr">
        <is>
          <t>2015-11-07T21:33:41</t>
        </is>
      </c>
    </row>
    <row r="320">
      <c r="A320" s="37" t="inlineStr">
        <is>
          <t>Helpdesk Management</t>
        </is>
      </c>
      <c r="B320" s="37" t="inlineStr">
        <is>
          <t>Ew01</t>
        </is>
      </c>
      <c r="C320" s="37" t="inlineStr">
        <is>
          <t>GenericBookmarkEntry</t>
        </is>
      </c>
      <c r="D320" s="37" t="inlineStr"/>
      <c r="E320" s="39" t="n">
        <v>2048</v>
      </c>
      <c r="F320" s="37" t="inlineStr">
        <is>
          <t>2015-11-07T21:33:41</t>
        </is>
      </c>
    </row>
    <row r="321">
      <c r="A321" s="32" t="inlineStr">
        <is>
          <t>Helpdesk Management</t>
        </is>
      </c>
      <c r="B321" s="32" t="inlineStr">
        <is>
          <t>hyeGht</t>
        </is>
      </c>
      <c r="C321" s="32" t="inlineStr">
        <is>
          <t>GenericDimensionProperties</t>
        </is>
      </c>
      <c r="D321" s="32" t="inlineStr"/>
      <c r="E321" s="34" t="n">
        <v>1536</v>
      </c>
      <c r="F321" s="32" t="inlineStr">
        <is>
          <t>2015-11-07T21:33:41</t>
        </is>
      </c>
    </row>
    <row r="322">
      <c r="A322" s="37" t="inlineStr">
        <is>
          <t>Helpdesk Management</t>
        </is>
      </c>
      <c r="B322" s="37" t="inlineStr">
        <is>
          <t>Bbdkpp</t>
        </is>
      </c>
      <c r="C322" s="37" t="inlineStr">
        <is>
          <t>GenericDimensionProperties</t>
        </is>
      </c>
      <c r="D322" s="37" t="inlineStr"/>
      <c r="E322" s="39" t="n">
        <v>1536</v>
      </c>
      <c r="F322" s="37" t="inlineStr">
        <is>
          <t>2015-11-07T21:33:41</t>
        </is>
      </c>
    </row>
    <row r="323">
      <c r="A323" s="32" t="inlineStr">
        <is>
          <t>Helpdesk Management</t>
        </is>
      </c>
      <c r="B323" s="32" t="inlineStr">
        <is>
          <t>krpjsE</t>
        </is>
      </c>
      <c r="C323" s="32" t="inlineStr">
        <is>
          <t>GenericDimensionProperties</t>
        </is>
      </c>
      <c r="D323" s="32" t="inlineStr"/>
      <c r="E323" s="34" t="n">
        <v>1536</v>
      </c>
      <c r="F323" s="32" t="inlineStr">
        <is>
          <t>2015-11-07T21:33:41</t>
        </is>
      </c>
    </row>
    <row r="324">
      <c r="A324" s="37" t="inlineStr">
        <is>
          <t>Helpdesk Management</t>
        </is>
      </c>
      <c r="B324" s="37" t="inlineStr">
        <is>
          <t>SENvLWT</t>
        </is>
      </c>
      <c r="C324" s="37" t="inlineStr">
        <is>
          <t>GenericBookmarkEntry</t>
        </is>
      </c>
      <c r="D324" s="37" t="inlineStr"/>
      <c r="E324" s="39" t="n">
        <v>2560</v>
      </c>
      <c r="F324" s="37" t="inlineStr">
        <is>
          <t>2015-11-07T21:33:41</t>
        </is>
      </c>
    </row>
    <row r="325">
      <c r="A325" s="32" t="inlineStr">
        <is>
          <t>Helpdesk Management</t>
        </is>
      </c>
      <c r="B325" s="32" t="inlineStr">
        <is>
          <t>FrnmUQs</t>
        </is>
      </c>
      <c r="C325" s="32" t="inlineStr">
        <is>
          <t>GenericBookmarkEntry</t>
        </is>
      </c>
      <c r="D325" s="32" t="inlineStr"/>
      <c r="E325" s="34" t="n">
        <v>1536</v>
      </c>
      <c r="F325" s="32" t="inlineStr">
        <is>
          <t>2015-11-07T21:33:41</t>
        </is>
      </c>
    </row>
    <row r="326">
      <c r="A326" s="37" t="inlineStr">
        <is>
          <t>Helpdesk Management</t>
        </is>
      </c>
      <c r="B326" s="37" t="inlineStr">
        <is>
          <t>unGmT</t>
        </is>
      </c>
      <c r="C326" s="37" t="inlineStr">
        <is>
          <t>GenericBookmarkEntry</t>
        </is>
      </c>
      <c r="D326" s="37" t="inlineStr"/>
      <c r="E326" s="39" t="n">
        <v>1536</v>
      </c>
      <c r="F326" s="37" t="inlineStr">
        <is>
          <t>2015-11-07T21:33:41</t>
        </is>
      </c>
    </row>
    <row r="327">
      <c r="A327" s="32" t="inlineStr">
        <is>
          <t>Helpdesk Management</t>
        </is>
      </c>
      <c r="B327" s="32" t="inlineStr">
        <is>
          <t>chgQYX</t>
        </is>
      </c>
      <c r="C327" s="32" t="inlineStr">
        <is>
          <t>GenericBookmarkEntry</t>
        </is>
      </c>
      <c r="D327" s="32" t="inlineStr"/>
      <c r="E327" s="34" t="n">
        <v>2048</v>
      </c>
      <c r="F327" s="32" t="inlineStr">
        <is>
          <t>2015-11-07T21:33:41</t>
        </is>
      </c>
    </row>
    <row r="328">
      <c r="A328" s="37" t="inlineStr">
        <is>
          <t>Helpdesk Management</t>
        </is>
      </c>
      <c r="B328" s="37" t="inlineStr">
        <is>
          <t>CqgPvhm</t>
        </is>
      </c>
      <c r="C328" s="37" t="inlineStr">
        <is>
          <t>GenericMeasureProperties</t>
        </is>
      </c>
      <c r="D328" s="37" t="inlineStr"/>
      <c r="E328" s="39" t="n">
        <v>512</v>
      </c>
      <c r="F328" s="37" t="inlineStr">
        <is>
          <t>2015-11-07T21:33:41</t>
        </is>
      </c>
    </row>
    <row r="329">
      <c r="A329" s="32" t="inlineStr">
        <is>
          <t>Helpdesk Management</t>
        </is>
      </c>
      <c r="B329" s="32" t="inlineStr">
        <is>
          <t>4df984f9-1150-4383-9347-ce1993287a34</t>
        </is>
      </c>
      <c r="C329" s="32" t="inlineStr">
        <is>
          <t>GenericBookmarkEntry</t>
        </is>
      </c>
      <c r="D329" s="32" t="inlineStr"/>
      <c r="E329" s="34" t="n">
        <v>3072</v>
      </c>
      <c r="F329" s="32" t="inlineStr">
        <is>
          <t>2015-11-07T21:33:41</t>
        </is>
      </c>
    </row>
    <row r="330">
      <c r="A330" s="37" t="inlineStr">
        <is>
          <t>Helpdesk Management</t>
        </is>
      </c>
      <c r="B330" s="37" t="inlineStr">
        <is>
          <t>MPcQeZ</t>
        </is>
      </c>
      <c r="C330" s="37" t="inlineStr">
        <is>
          <t>GenericMeasureProperties</t>
        </is>
      </c>
      <c r="D330" s="37" t="inlineStr"/>
      <c r="E330" s="39" t="n">
        <v>512</v>
      </c>
      <c r="F330" s="37" t="inlineStr">
        <is>
          <t>2015-11-07T21:33:41</t>
        </is>
      </c>
    </row>
    <row r="331">
      <c r="A331" s="32" t="inlineStr">
        <is>
          <t>Helpdesk Management</t>
        </is>
      </c>
      <c r="B331" s="32" t="inlineStr">
        <is>
          <t>63cd685c-aa73-4821-a0a0-271b2b4494c7</t>
        </is>
      </c>
      <c r="C331" s="32" t="inlineStr">
        <is>
          <t>GenericBookmarkEntry</t>
        </is>
      </c>
      <c r="D331" s="32" t="inlineStr"/>
      <c r="E331" s="34" t="n">
        <v>1536</v>
      </c>
      <c r="F331" s="32" t="inlineStr">
        <is>
          <t>2015-11-07T21:33:41</t>
        </is>
      </c>
    </row>
    <row r="332">
      <c r="A332" s="37" t="inlineStr">
        <is>
          <t>Helpdesk Management</t>
        </is>
      </c>
      <c r="B332" s="37" t="inlineStr">
        <is>
          <t>Fr01</t>
        </is>
      </c>
      <c r="C332" s="37" t="inlineStr">
        <is>
          <t>GenericBookmarkEntry</t>
        </is>
      </c>
      <c r="D332" s="37" t="inlineStr"/>
      <c r="E332" s="39" t="n">
        <v>2048</v>
      </c>
      <c r="F332" s="37" t="inlineStr">
        <is>
          <t>2015-11-07T21:33:41</t>
        </is>
      </c>
    </row>
    <row r="333">
      <c r="A333" s="32" t="inlineStr">
        <is>
          <t>Helpdesk Management</t>
        </is>
      </c>
      <c r="B333" s="32" t="inlineStr">
        <is>
          <t>kmvsmz</t>
        </is>
      </c>
      <c r="C333" s="32" t="inlineStr">
        <is>
          <t>GenericMeasureProperties</t>
        </is>
      </c>
      <c r="D333" s="32" t="inlineStr"/>
      <c r="E333" s="34" t="n">
        <v>512</v>
      </c>
      <c r="F333" s="32" t="inlineStr">
        <is>
          <t>2015-11-07T21:33:41</t>
        </is>
      </c>
    </row>
    <row r="334">
      <c r="A334" s="37" t="inlineStr">
        <is>
          <t>Helpdesk Management</t>
        </is>
      </c>
      <c r="B334" s="37" t="inlineStr">
        <is>
          <t>qJFk</t>
        </is>
      </c>
      <c r="C334" s="37" t="inlineStr">
        <is>
          <t>GenericBookmarkEntry</t>
        </is>
      </c>
      <c r="D334" s="37" t="inlineStr"/>
      <c r="E334" s="39" t="n">
        <v>2560</v>
      </c>
      <c r="F334" s="37" t="inlineStr">
        <is>
          <t>2015-11-07T21:33:41</t>
        </is>
      </c>
    </row>
    <row r="335">
      <c r="A335" s="32" t="inlineStr">
        <is>
          <t>Helpdesk Management</t>
        </is>
      </c>
      <c r="B335" s="32" t="inlineStr">
        <is>
          <t>jd01</t>
        </is>
      </c>
      <c r="C335" s="32" t="inlineStr">
        <is>
          <t>GenericBookmarkEntry</t>
        </is>
      </c>
      <c r="D335" s="32" t="inlineStr"/>
      <c r="E335" s="34" t="n">
        <v>2048</v>
      </c>
      <c r="F335" s="32" t="inlineStr">
        <is>
          <t>2015-11-07T21:33:41</t>
        </is>
      </c>
    </row>
    <row r="336">
      <c r="A336" s="37" t="inlineStr">
        <is>
          <t>Helpdesk Management</t>
        </is>
      </c>
      <c r="B336" s="37" t="inlineStr">
        <is>
          <t>rfQk</t>
        </is>
      </c>
      <c r="C336" s="37" t="inlineStr">
        <is>
          <t>GenericDimensionProperties</t>
        </is>
      </c>
      <c r="D336" s="37" t="inlineStr"/>
      <c r="E336" s="39" t="n">
        <v>1536</v>
      </c>
      <c r="F336" s="37" t="inlineStr">
        <is>
          <t>2015-11-07T21:33:41</t>
        </is>
      </c>
    </row>
    <row r="337">
      <c r="A337" s="32" t="inlineStr">
        <is>
          <t>Helpdesk Management</t>
        </is>
      </c>
      <c r="B337" s="32" t="inlineStr">
        <is>
          <t>dLHgkN</t>
        </is>
      </c>
      <c r="C337" s="32" t="inlineStr">
        <is>
          <t>GenericBookmarkEntry</t>
        </is>
      </c>
      <c r="D337" s="32" t="inlineStr"/>
      <c r="E337" s="34" t="n">
        <v>1536</v>
      </c>
      <c r="F337" s="32" t="inlineStr">
        <is>
          <t>2015-11-07T21:33:41</t>
        </is>
      </c>
    </row>
    <row r="338">
      <c r="A338" s="37" t="inlineStr">
        <is>
          <t>Helpdesk Management</t>
        </is>
      </c>
      <c r="B338" s="37" t="inlineStr">
        <is>
          <t>eXTkLj</t>
        </is>
      </c>
      <c r="C338" s="37" t="inlineStr">
        <is>
          <t>GenericBookmarkEntry</t>
        </is>
      </c>
      <c r="D338" s="37" t="inlineStr"/>
      <c r="E338" s="39" t="n">
        <v>2560</v>
      </c>
      <c r="F338" s="37" t="inlineStr">
        <is>
          <t>2015-11-07T21:33:41</t>
        </is>
      </c>
    </row>
    <row r="339">
      <c r="A339" s="32" t="inlineStr">
        <is>
          <t>Helpdesk Management</t>
        </is>
      </c>
      <c r="B339" s="32" t="inlineStr">
        <is>
          <t>29ec2534-99f6-4b49-97bd-5ce5acffb3a5</t>
        </is>
      </c>
      <c r="C339" s="32" t="inlineStr">
        <is>
          <t>GenericBookmarkEntry</t>
        </is>
      </c>
      <c r="D339" s="32" t="inlineStr"/>
      <c r="E339" s="34" t="n">
        <v>2560</v>
      </c>
      <c r="F339" s="32" t="inlineStr">
        <is>
          <t>2015-11-07T21:33:41</t>
        </is>
      </c>
    </row>
    <row r="340">
      <c r="A340" s="37" t="inlineStr">
        <is>
          <t>Helpdesk Management</t>
        </is>
      </c>
      <c r="B340" s="37" t="inlineStr">
        <is>
          <t>0747e564-4721-4906-8ef5-c5e214db6994</t>
        </is>
      </c>
      <c r="C340" s="37" t="inlineStr">
        <is>
          <t>GenericBookmarkEntry</t>
        </is>
      </c>
      <c r="D340" s="37" t="inlineStr"/>
      <c r="E340" s="39" t="n">
        <v>2048</v>
      </c>
      <c r="F340" s="37" t="inlineStr">
        <is>
          <t>2015-11-07T21:33:42</t>
        </is>
      </c>
    </row>
    <row r="341">
      <c r="A341" s="32" t="inlineStr">
        <is>
          <t>Helpdesk Management</t>
        </is>
      </c>
      <c r="B341" s="32" t="inlineStr">
        <is>
          <t>b5d09a52-69a7-4ab5-8737-aface7bf4b8b</t>
        </is>
      </c>
      <c r="C341" s="32" t="inlineStr">
        <is>
          <t>GenericBookmarkEntry</t>
        </is>
      </c>
      <c r="D341" s="32" t="inlineStr"/>
      <c r="E341" s="34" t="n">
        <v>3072</v>
      </c>
      <c r="F341" s="32" t="inlineStr">
        <is>
          <t>2015-11-07T21:33:42</t>
        </is>
      </c>
    </row>
    <row r="342">
      <c r="A342" s="37" t="inlineStr">
        <is>
          <t>Helpdesk Management</t>
        </is>
      </c>
      <c r="B342" s="37" t="inlineStr">
        <is>
          <t>83f4921b-9e69-4c7c-ab2c-242d192dc9c3</t>
        </is>
      </c>
      <c r="C342" s="37" t="inlineStr">
        <is>
          <t>GenericBookmarkEntry</t>
        </is>
      </c>
      <c r="D342" s="37" t="inlineStr"/>
      <c r="E342" s="39" t="n">
        <v>875</v>
      </c>
      <c r="F342" s="37" t="inlineStr">
        <is>
          <t>2015-11-07T21:33:42</t>
        </is>
      </c>
    </row>
    <row r="343">
      <c r="A343" s="32" t="inlineStr">
        <is>
          <t>Helpdesk Management</t>
        </is>
      </c>
      <c r="B343" s="32" t="inlineStr">
        <is>
          <t>XpPvDqf</t>
        </is>
      </c>
      <c r="C343" s="32" t="inlineStr">
        <is>
          <t>GenericMeasureProperties</t>
        </is>
      </c>
      <c r="D343" s="32" t="inlineStr"/>
      <c r="E343" s="34" t="n">
        <v>512</v>
      </c>
      <c r="F343" s="32" t="inlineStr">
        <is>
          <t>2015-11-07T21:33:41</t>
        </is>
      </c>
    </row>
    <row r="344">
      <c r="A344" s="37" t="inlineStr">
        <is>
          <t>Helpdesk Management</t>
        </is>
      </c>
      <c r="B344" s="37" t="inlineStr">
        <is>
          <t>Tn01</t>
        </is>
      </c>
      <c r="C344" s="37" t="inlineStr">
        <is>
          <t>GenericBookmarkEntry</t>
        </is>
      </c>
      <c r="D344" s="37" t="inlineStr"/>
      <c r="E344" s="39" t="n">
        <v>1537</v>
      </c>
      <c r="F344" s="37" t="inlineStr">
        <is>
          <t>2015-11-07T21:33:41</t>
        </is>
      </c>
    </row>
    <row r="345">
      <c r="A345" s="32" t="inlineStr">
        <is>
          <t>Helpdesk Management</t>
        </is>
      </c>
      <c r="B345" s="32" t="inlineStr">
        <is>
          <t>sEavA</t>
        </is>
      </c>
      <c r="C345" s="32" t="inlineStr">
        <is>
          <t>GenericDimensionProperties</t>
        </is>
      </c>
      <c r="D345" s="32" t="inlineStr"/>
      <c r="E345" s="34" t="n">
        <v>1536</v>
      </c>
      <c r="F345" s="32" t="inlineStr">
        <is>
          <t>2015-11-07T21:33:41</t>
        </is>
      </c>
    </row>
    <row r="346">
      <c r="A346" s="37" t="inlineStr">
        <is>
          <t>Helpdesk Management</t>
        </is>
      </c>
      <c r="B346" s="37" t="inlineStr">
        <is>
          <t>yMSuF</t>
        </is>
      </c>
      <c r="C346" s="37" t="inlineStr">
        <is>
          <t>GenericBookmarkEntry</t>
        </is>
      </c>
      <c r="D346" s="37" t="inlineStr"/>
      <c r="E346" s="39" t="n">
        <v>1536</v>
      </c>
      <c r="F346" s="37" t="inlineStr">
        <is>
          <t>2015-11-07T21:33:41</t>
        </is>
      </c>
    </row>
    <row r="347">
      <c r="A347" s="32" t="inlineStr">
        <is>
          <t>Helpdesk Management</t>
        </is>
      </c>
      <c r="B347" s="32" t="inlineStr">
        <is>
          <t>vpjnFZ</t>
        </is>
      </c>
      <c r="C347" s="32" t="inlineStr">
        <is>
          <t>GenericMeasureProperties</t>
        </is>
      </c>
      <c r="D347" s="32" t="inlineStr"/>
      <c r="E347" s="34" t="n">
        <v>512</v>
      </c>
      <c r="F347" s="32" t="inlineStr">
        <is>
          <t>2015-11-07T21:33:41</t>
        </is>
      </c>
    </row>
    <row r="348">
      <c r="A348" s="37" t="inlineStr">
        <is>
          <t>Helpdesk Management</t>
        </is>
      </c>
      <c r="B348" s="37" t="inlineStr">
        <is>
          <t>pBUN</t>
        </is>
      </c>
      <c r="C348" s="37" t="inlineStr">
        <is>
          <t>GenericMeasureProperties</t>
        </is>
      </c>
      <c r="D348" s="37" t="inlineStr"/>
      <c r="E348" s="39" t="n">
        <v>512</v>
      </c>
      <c r="F348" s="37" t="inlineStr">
        <is>
          <t>2015-11-07T21:33:41</t>
        </is>
      </c>
    </row>
    <row r="349">
      <c r="A349" s="32" t="inlineStr">
        <is>
          <t>Helpdesk Management</t>
        </is>
      </c>
      <c r="B349" s="32" t="inlineStr">
        <is>
          <t>eqZjE</t>
        </is>
      </c>
      <c r="C349" s="32" t="inlineStr">
        <is>
          <t>GenericMeasureProperties</t>
        </is>
      </c>
      <c r="D349" s="32" t="inlineStr"/>
      <c r="E349" s="34" t="n">
        <v>512</v>
      </c>
      <c r="F349" s="32" t="inlineStr">
        <is>
          <t>2015-11-07T21:33:41</t>
        </is>
      </c>
    </row>
    <row r="350">
      <c r="A350" s="37" t="inlineStr">
        <is>
          <t>Helpdesk Management</t>
        </is>
      </c>
      <c r="B350" s="37" t="inlineStr">
        <is>
          <t>Etuu</t>
        </is>
      </c>
      <c r="C350" s="37" t="inlineStr">
        <is>
          <t>GenericBookmarkEntry</t>
        </is>
      </c>
      <c r="D350" s="37" t="inlineStr"/>
      <c r="E350" s="39" t="n">
        <v>3072</v>
      </c>
      <c r="F350" s="37" t="inlineStr">
        <is>
          <t>2015-11-07T21:33:41</t>
        </is>
      </c>
    </row>
    <row r="351">
      <c r="A351" s="32" t="inlineStr">
        <is>
          <t>Helpdesk Management</t>
        </is>
      </c>
      <c r="B351" s="32" t="inlineStr">
        <is>
          <t>7cfbd2aa-1005-4849-8265-24f616712bce</t>
        </is>
      </c>
      <c r="C351" s="32" t="inlineStr">
        <is>
          <t>GenericBookmarkEntry</t>
        </is>
      </c>
      <c r="D351" s="32" t="inlineStr"/>
      <c r="E351" s="34" t="n">
        <v>2560</v>
      </c>
      <c r="F351" s="32" t="inlineStr">
        <is>
          <t>2015-11-07T21:33:42</t>
        </is>
      </c>
    </row>
    <row r="352">
      <c r="A352" s="37" t="inlineStr">
        <is>
          <t>Helpdesk Management</t>
        </is>
      </c>
      <c r="B352" s="37" t="inlineStr">
        <is>
          <t>EwrnQf</t>
        </is>
      </c>
      <c r="C352" s="37" t="inlineStr">
        <is>
          <t>GenericBookmarkEntry</t>
        </is>
      </c>
      <c r="D352" s="37" t="inlineStr"/>
      <c r="E352" s="39" t="n">
        <v>2048</v>
      </c>
      <c r="F352" s="37" t="inlineStr">
        <is>
          <t>2015-11-07T21:33:41</t>
        </is>
      </c>
    </row>
    <row r="353">
      <c r="A353" s="32" t="inlineStr">
        <is>
          <t>Helpdesk Management</t>
        </is>
      </c>
      <c r="B353" s="32" t="inlineStr">
        <is>
          <t>WjzpP</t>
        </is>
      </c>
      <c r="C353" s="32" t="inlineStr">
        <is>
          <t>GenericBookmarkEntry</t>
        </is>
      </c>
      <c r="D353" s="32" t="inlineStr"/>
      <c r="E353" s="34" t="n">
        <v>1536</v>
      </c>
      <c r="F353" s="32" t="inlineStr">
        <is>
          <t>2015-11-07T21:33:41</t>
        </is>
      </c>
    </row>
    <row r="354">
      <c r="A354" s="37" t="inlineStr">
        <is>
          <t>Helpdesk Management</t>
        </is>
      </c>
      <c r="B354" s="37" t="inlineStr">
        <is>
          <t>JaFS</t>
        </is>
      </c>
      <c r="C354" s="37" t="inlineStr">
        <is>
          <t>GenericBookmarkEntry</t>
        </is>
      </c>
      <c r="D354" s="37" t="inlineStr"/>
      <c r="E354" s="39" t="n">
        <v>1536</v>
      </c>
      <c r="F354" s="37" t="inlineStr">
        <is>
          <t>2015-11-07T21:33:41</t>
        </is>
      </c>
    </row>
    <row r="355">
      <c r="A355" s="32" t="inlineStr">
        <is>
          <t>Helpdesk Management</t>
        </is>
      </c>
      <c r="B355" s="32" t="inlineStr">
        <is>
          <t>jdzPPB</t>
        </is>
      </c>
      <c r="C355" s="32" t="inlineStr">
        <is>
          <t>GenericBookmarkEntry</t>
        </is>
      </c>
      <c r="D355" s="32" t="inlineStr"/>
      <c r="E355" s="34" t="n">
        <v>2048</v>
      </c>
      <c r="F355" s="32" t="inlineStr">
        <is>
          <t>2015-11-07T21:33:41</t>
        </is>
      </c>
    </row>
    <row r="356">
      <c r="A356" s="37" t="inlineStr">
        <is>
          <t>Helpdesk Management</t>
        </is>
      </c>
      <c r="B356" s="37" t="inlineStr">
        <is>
          <t>bNqdKW</t>
        </is>
      </c>
      <c r="C356" s="37" t="inlineStr">
        <is>
          <t>GenericBookmarkEntry</t>
        </is>
      </c>
      <c r="D356" s="37" t="inlineStr"/>
      <c r="E356" s="39" t="n">
        <v>2048</v>
      </c>
      <c r="F356" s="37" t="inlineStr">
        <is>
          <t>2015-11-07T21:33:41</t>
        </is>
      </c>
    </row>
    <row r="357">
      <c r="A357" s="32" t="inlineStr">
        <is>
          <t>Helpdesk Management</t>
        </is>
      </c>
      <c r="B357" s="32" t="inlineStr">
        <is>
          <t>JLkWNv</t>
        </is>
      </c>
      <c r="C357" s="32" t="inlineStr">
        <is>
          <t>GenericBookmarkEntry</t>
        </is>
      </c>
      <c r="D357" s="32" t="inlineStr"/>
      <c r="E357" s="34" t="n">
        <v>1536</v>
      </c>
      <c r="F357" s="32" t="inlineStr">
        <is>
          <t>2015-11-07T21:33:41</t>
        </is>
      </c>
    </row>
    <row r="358">
      <c r="A358" s="37" t="inlineStr">
        <is>
          <t>Helpdesk Management</t>
        </is>
      </c>
      <c r="B358" s="37" t="inlineStr">
        <is>
          <t>1685a978-ef75-48ce-b3ee-8b42de79d41c</t>
        </is>
      </c>
      <c r="C358" s="37" t="inlineStr">
        <is>
          <t>GenericBookmarkEntry</t>
        </is>
      </c>
      <c r="D358" s="37" t="inlineStr"/>
      <c r="E358" s="39" t="n">
        <v>2560</v>
      </c>
      <c r="F358" s="37" t="inlineStr">
        <is>
          <t>2015-11-07T21:33:42</t>
        </is>
      </c>
    </row>
    <row r="359">
      <c r="A359" s="32" t="inlineStr">
        <is>
          <t>Helpdesk Management</t>
        </is>
      </c>
      <c r="B359" s="32" t="inlineStr">
        <is>
          <t>gs01</t>
        </is>
      </c>
      <c r="C359" s="32" t="inlineStr">
        <is>
          <t>GenericBookmarkEntry</t>
        </is>
      </c>
      <c r="D359" s="32" t="inlineStr"/>
      <c r="E359" s="34" t="n">
        <v>1536</v>
      </c>
      <c r="F359" s="32" t="inlineStr">
        <is>
          <t>2015-11-07T21:33:41</t>
        </is>
      </c>
    </row>
    <row r="360">
      <c r="A360" s="37" t="inlineStr">
        <is>
          <t>Helpdesk Management</t>
        </is>
      </c>
      <c r="B360" s="37" t="inlineStr">
        <is>
          <t>PYUvUGd</t>
        </is>
      </c>
      <c r="C360" s="37" t="inlineStr">
        <is>
          <t>GenericBookmarkEntry</t>
        </is>
      </c>
      <c r="D360" s="37" t="inlineStr"/>
      <c r="E360" s="39" t="n">
        <v>2048</v>
      </c>
      <c r="F360" s="37" t="inlineStr">
        <is>
          <t>2015-11-07T21:33:41</t>
        </is>
      </c>
    </row>
    <row r="361">
      <c r="A361" s="32" t="inlineStr">
        <is>
          <t>Helpdesk Management</t>
        </is>
      </c>
      <c r="B361" s="32" t="inlineStr">
        <is>
          <t>BEQgPMP</t>
        </is>
      </c>
      <c r="C361" s="32" t="inlineStr">
        <is>
          <t>GenericBookmarkEntry</t>
        </is>
      </c>
      <c r="D361" s="32" t="inlineStr"/>
      <c r="E361" s="34" t="n">
        <v>3072</v>
      </c>
      <c r="F361" s="32" t="inlineStr">
        <is>
          <t>2015-11-07T21:33:41</t>
        </is>
      </c>
    </row>
    <row r="362">
      <c r="A362" s="37" t="inlineStr">
        <is>
          <t>Helpdesk Management</t>
        </is>
      </c>
      <c r="B362" s="37" t="inlineStr">
        <is>
          <t>QYLgZ</t>
        </is>
      </c>
      <c r="C362" s="37" t="inlineStr">
        <is>
          <t>GenericMeasureProperties</t>
        </is>
      </c>
      <c r="D362" s="37" t="inlineStr"/>
      <c r="E362" s="39" t="n">
        <v>512</v>
      </c>
      <c r="F362" s="37" t="inlineStr">
        <is>
          <t>2015-11-07T21:33:41</t>
        </is>
      </c>
    </row>
    <row r="363">
      <c r="A363" s="32" t="inlineStr">
        <is>
          <t>Helpdesk Management</t>
        </is>
      </c>
      <c r="B363" s="32" t="inlineStr">
        <is>
          <t>3810cb4d-a687-46e2-a1a4-25e8ae9132dc</t>
        </is>
      </c>
      <c r="C363" s="32" t="inlineStr">
        <is>
          <t>GenericBookmarkEntry</t>
        </is>
      </c>
      <c r="D363" s="32" t="inlineStr"/>
      <c r="E363" s="34" t="n">
        <v>3072</v>
      </c>
      <c r="F363" s="32" t="inlineStr">
        <is>
          <t>2015-11-07T21:33:42</t>
        </is>
      </c>
    </row>
    <row r="364">
      <c r="A364" s="37" t="inlineStr">
        <is>
          <t>Helpdesk Management</t>
        </is>
      </c>
      <c r="B364" s="37" t="inlineStr">
        <is>
          <t>37645ec9-002a-4d01-8015-dbc037b580b3</t>
        </is>
      </c>
      <c r="C364" s="37" t="inlineStr">
        <is>
          <t>GenericBookmarkEntry</t>
        </is>
      </c>
      <c r="D364" s="37" t="inlineStr"/>
      <c r="E364" s="39" t="n">
        <v>1536</v>
      </c>
      <c r="F364" s="37" t="inlineStr">
        <is>
          <t>2015-11-07T21:33:42</t>
        </is>
      </c>
    </row>
    <row r="365">
      <c r="A365" s="32" t="inlineStr">
        <is>
          <t>Helpdesk Management</t>
        </is>
      </c>
      <c r="B365" s="32" t="inlineStr">
        <is>
          <t>RzQeEcP</t>
        </is>
      </c>
      <c r="C365" s="32" t="inlineStr">
        <is>
          <t>GenericBookmarkEntry</t>
        </is>
      </c>
      <c r="D365" s="32" t="inlineStr"/>
      <c r="E365" s="34" t="n">
        <v>1024</v>
      </c>
      <c r="F365" s="32" t="inlineStr">
        <is>
          <t>2015-11-07T21:33:41</t>
        </is>
      </c>
    </row>
    <row r="366">
      <c r="A366" s="37" t="inlineStr">
        <is>
          <t>Helpdesk Management</t>
        </is>
      </c>
      <c r="B366" s="37" t="inlineStr">
        <is>
          <t>fc485419-8c28-42ee-8a94-3f84cc731b7d</t>
        </is>
      </c>
      <c r="C366" s="37" t="inlineStr">
        <is>
          <t>GenericBookmarkEntry</t>
        </is>
      </c>
      <c r="D366" s="37" t="inlineStr"/>
      <c r="E366" s="39" t="n">
        <v>2048</v>
      </c>
      <c r="F366" s="37" t="inlineStr">
        <is>
          <t>2015-11-07T21:33:42</t>
        </is>
      </c>
    </row>
    <row r="367">
      <c r="A367" s="32" t="inlineStr">
        <is>
          <t>Helpdesk Management</t>
        </is>
      </c>
      <c r="B367" s="32" t="inlineStr">
        <is>
          <t>bee65404-de30-4728-b2d6-bfacd57b89d5</t>
        </is>
      </c>
      <c r="C367" s="32" t="inlineStr">
        <is>
          <t>GenericBookmarkEntry</t>
        </is>
      </c>
      <c r="D367" s="32" t="inlineStr"/>
      <c r="E367" s="34" t="n">
        <v>2048</v>
      </c>
      <c r="F367" s="32" t="inlineStr">
        <is>
          <t>2015-11-07T21:33:42</t>
        </is>
      </c>
    </row>
    <row r="368">
      <c r="A368" s="37" t="inlineStr">
        <is>
          <t>Helpdesk Management</t>
        </is>
      </c>
      <c r="B368" s="37" t="inlineStr">
        <is>
          <t>dPfwKn</t>
        </is>
      </c>
      <c r="C368" s="37" t="inlineStr">
        <is>
          <t>GenericBookmarkEntry</t>
        </is>
      </c>
      <c r="D368" s="37" t="inlineStr"/>
      <c r="E368" s="39" t="n">
        <v>1536</v>
      </c>
      <c r="F368" s="37" t="inlineStr">
        <is>
          <t>2015-11-07T21:33:41</t>
        </is>
      </c>
    </row>
    <row r="369">
      <c r="A369" s="32" t="inlineStr">
        <is>
          <t>Helpdesk Management</t>
        </is>
      </c>
      <c r="B369" s="32" t="inlineStr">
        <is>
          <t>8791fb04-b62e-4fce-a565-941b8478df56</t>
        </is>
      </c>
      <c r="C369" s="32" t="inlineStr">
        <is>
          <t>GenericBookmarkEntry</t>
        </is>
      </c>
      <c r="D369" s="32" t="inlineStr"/>
      <c r="E369" s="34" t="n">
        <v>908</v>
      </c>
      <c r="F369" s="32" t="inlineStr">
        <is>
          <t>2015-11-07T21:33:42</t>
        </is>
      </c>
    </row>
    <row r="370">
      <c r="A370" s="37" t="inlineStr">
        <is>
          <t>Helpdesk Management</t>
        </is>
      </c>
      <c r="B370" s="37" t="inlineStr">
        <is>
          <t>zxkjWyZ</t>
        </is>
      </c>
      <c r="C370" s="37" t="inlineStr">
        <is>
          <t>GenericBookmarkEntry</t>
        </is>
      </c>
      <c r="D370" s="37" t="inlineStr"/>
      <c r="E370" s="39" t="n">
        <v>2048</v>
      </c>
      <c r="F370" s="37" t="inlineStr">
        <is>
          <t>2015-11-07T21:33:41</t>
        </is>
      </c>
    </row>
    <row r="371">
      <c r="A371" s="32" t="inlineStr">
        <is>
          <t>Helpdesk Management</t>
        </is>
      </c>
      <c r="B371" s="32" t="inlineStr">
        <is>
          <t>c1b5c2b8-f6d8-4dfe-85ea-0c6f4206112d</t>
        </is>
      </c>
      <c r="C371" s="32" t="inlineStr">
        <is>
          <t>GenericBookmarkEntry</t>
        </is>
      </c>
      <c r="D371" s="32" t="inlineStr"/>
      <c r="E371" s="34" t="n">
        <v>2048</v>
      </c>
      <c r="F371" s="32" t="inlineStr">
        <is>
          <t>2015-11-07T21:33:42</t>
        </is>
      </c>
    </row>
    <row r="372">
      <c r="A372" s="37" t="inlineStr">
        <is>
          <t>Helpdesk Management</t>
        </is>
      </c>
      <c r="B372" s="37" t="inlineStr">
        <is>
          <t>eExTHGH</t>
        </is>
      </c>
      <c r="C372" s="37" t="inlineStr">
        <is>
          <t>GenericBookmarkEntry</t>
        </is>
      </c>
      <c r="D372" s="37" t="inlineStr"/>
      <c r="E372" s="39" t="n">
        <v>3072</v>
      </c>
      <c r="F372" s="37" t="inlineStr">
        <is>
          <t>2015-11-07T21:33:41</t>
        </is>
      </c>
    </row>
    <row r="373">
      <c r="A373" s="32" t="inlineStr">
        <is>
          <t>Helpdesk Management</t>
        </is>
      </c>
      <c r="B373" s="32" t="inlineStr">
        <is>
          <t>wJxMEa</t>
        </is>
      </c>
      <c r="C373" s="32" t="inlineStr">
        <is>
          <t>GenericBookmarkEntry</t>
        </is>
      </c>
      <c r="D373" s="32" t="inlineStr"/>
      <c r="E373" s="34" t="n">
        <v>1536</v>
      </c>
      <c r="F373" s="32" t="inlineStr">
        <is>
          <t>2015-11-07T21:33:41</t>
        </is>
      </c>
    </row>
    <row r="374">
      <c r="A374" s="37" t="inlineStr">
        <is>
          <t>Helpdesk Management</t>
        </is>
      </c>
      <c r="B374" s="37" t="inlineStr">
        <is>
          <t>e6ecbc9e-d414-43c2-b506-3b3a7a9e3cea</t>
        </is>
      </c>
      <c r="C374" s="37" t="inlineStr">
        <is>
          <t>GenericBookmarkEntry</t>
        </is>
      </c>
      <c r="D374" s="37" t="inlineStr"/>
      <c r="E374" s="39" t="n">
        <v>2487</v>
      </c>
      <c r="F374" s="37" t="inlineStr">
        <is>
          <t>2015-11-07T21:33:42</t>
        </is>
      </c>
    </row>
    <row r="375">
      <c r="A375" s="32" t="inlineStr">
        <is>
          <t>Helpdesk Management</t>
        </is>
      </c>
      <c r="B375" s="32" t="inlineStr">
        <is>
          <t>qvapp_appscript</t>
        </is>
      </c>
      <c r="C375" s="32" t="inlineStr">
        <is>
          <t>AppScriptObject</t>
        </is>
      </c>
      <c r="D375" s="32" t="inlineStr"/>
      <c r="E375" s="34" t="n">
        <v>1024</v>
      </c>
      <c r="F375" s="32" t="inlineStr">
        <is>
          <t>2015-05-01T18:29:15</t>
        </is>
      </c>
    </row>
    <row r="376">
      <c r="A376" s="37" t="inlineStr">
        <is>
          <t>Helpdesk Management</t>
        </is>
      </c>
      <c r="B376" s="37" t="inlineStr">
        <is>
          <t>3afa351a-3ccc-41c4-8c3d-7c8fbb5eb11f</t>
        </is>
      </c>
      <c r="C376" s="37" t="inlineStr">
        <is>
          <t>GenericBookmarkEntry</t>
        </is>
      </c>
      <c r="D376" s="37" t="inlineStr"/>
      <c r="E376" s="39" t="n">
        <v>1628</v>
      </c>
      <c r="F376" s="37" t="inlineStr">
        <is>
          <t>2015-11-07T21:33:42</t>
        </is>
      </c>
    </row>
    <row r="377">
      <c r="A377" s="32" t="inlineStr">
        <is>
          <t>Helpdesk Management</t>
        </is>
      </c>
      <c r="B377" s="32" t="inlineStr">
        <is>
          <t>qSzaJ</t>
        </is>
      </c>
      <c r="C377" s="32" t="inlineStr">
        <is>
          <t>GenericBookmarkEntry</t>
        </is>
      </c>
      <c r="D377" s="32" t="inlineStr"/>
      <c r="E377" s="34" t="n">
        <v>1024</v>
      </c>
      <c r="F377" s="32" t="inlineStr">
        <is>
          <t>2015-11-07T21:33:41</t>
        </is>
      </c>
    </row>
    <row r="378">
      <c r="A378" s="37" t="inlineStr">
        <is>
          <t>Helpdesk Management</t>
        </is>
      </c>
      <c r="B378" s="37" t="inlineStr">
        <is>
          <t>emtEjp</t>
        </is>
      </c>
      <c r="C378" s="37" t="inlineStr">
        <is>
          <t>GenericMeasureProperties</t>
        </is>
      </c>
      <c r="D378" s="37" t="inlineStr"/>
      <c r="E378" s="39" t="n">
        <v>512</v>
      </c>
      <c r="F378" s="37" t="inlineStr">
        <is>
          <t>2015-11-07T21:33:41</t>
        </is>
      </c>
    </row>
    <row r="379">
      <c r="A379" s="32" t="inlineStr">
        <is>
          <t>Helpdesk Management</t>
        </is>
      </c>
      <c r="B379" s="32" t="inlineStr">
        <is>
          <t>kHgmg</t>
        </is>
      </c>
      <c r="C379" s="32" t="inlineStr">
        <is>
          <t>GenericAppObjectEntry</t>
        </is>
      </c>
      <c r="D379" s="32" t="inlineStr"/>
      <c r="E379" s="34" t="n">
        <v>2560</v>
      </c>
      <c r="F379" s="32" t="inlineStr">
        <is>
          <t>2015-11-07T21:33:41</t>
        </is>
      </c>
    </row>
    <row r="380">
      <c r="A380" s="37" t="inlineStr">
        <is>
          <t>Helpdesk Management</t>
        </is>
      </c>
      <c r="B380" s="37" t="inlineStr">
        <is>
          <t>RWUpaMm</t>
        </is>
      </c>
      <c r="C380" s="37" t="inlineStr">
        <is>
          <t>GenericMeasureProperties</t>
        </is>
      </c>
      <c r="D380" s="37" t="inlineStr"/>
      <c r="E380" s="39" t="n">
        <v>512</v>
      </c>
      <c r="F380" s="37" t="inlineStr">
        <is>
          <t>2015-11-07T21:33:41</t>
        </is>
      </c>
    </row>
    <row r="381">
      <c r="A381" s="32" t="inlineStr">
        <is>
          <t>Helpdesk Management</t>
        </is>
      </c>
      <c r="B381" s="32" t="inlineStr">
        <is>
          <t>jySjA</t>
        </is>
      </c>
      <c r="C381" s="32" t="inlineStr">
        <is>
          <t>GenericDimensionProperties</t>
        </is>
      </c>
      <c r="D381" s="32" t="inlineStr"/>
      <c r="E381" s="34" t="n">
        <v>1536</v>
      </c>
      <c r="F381" s="32" t="inlineStr">
        <is>
          <t>2015-11-07T21:33:41</t>
        </is>
      </c>
    </row>
    <row r="382">
      <c r="A382" s="37" t="inlineStr">
        <is>
          <t>Helpdesk Management</t>
        </is>
      </c>
      <c r="B382" s="37" t="inlineStr">
        <is>
          <t>VPqmKgS</t>
        </is>
      </c>
      <c r="C382" s="37" t="inlineStr">
        <is>
          <t>GenericAppObjectEntry</t>
        </is>
      </c>
      <c r="D382" s="37" t="inlineStr"/>
      <c r="E382" s="39" t="n">
        <v>11264</v>
      </c>
      <c r="F382" s="37" t="inlineStr">
        <is>
          <t>2015-11-07T21:33:41</t>
        </is>
      </c>
    </row>
    <row r="383">
      <c r="A383" s="32" t="inlineStr">
        <is>
          <t>Helpdesk Management</t>
        </is>
      </c>
      <c r="B383" s="32" t="inlineStr">
        <is>
          <t>abf077f7-28dc-4563-86c9-e42e5b12cf14</t>
        </is>
      </c>
      <c r="C383" s="32" t="inlineStr">
        <is>
          <t>GenericBookmarkEntry</t>
        </is>
      </c>
      <c r="D383" s="32" t="inlineStr"/>
      <c r="E383" s="34" t="n">
        <v>1578</v>
      </c>
      <c r="F383" s="32" t="inlineStr">
        <is>
          <t>2015-11-07T21:33:42</t>
        </is>
      </c>
    </row>
    <row r="384">
      <c r="A384" s="37" t="inlineStr">
        <is>
          <t>Helpdesk Management</t>
        </is>
      </c>
      <c r="B384" s="37" t="inlineStr">
        <is>
          <t>KKAuzYz</t>
        </is>
      </c>
      <c r="C384" s="37" t="inlineStr">
        <is>
          <t>GenericMeasureProperties</t>
        </is>
      </c>
      <c r="D384" s="37" t="inlineStr"/>
      <c r="E384" s="39" t="n">
        <v>512</v>
      </c>
      <c r="F384" s="37" t="inlineStr">
        <is>
          <t>2015-11-07T21:33:41</t>
        </is>
      </c>
    </row>
    <row r="385">
      <c r="A385" s="32" t="inlineStr">
        <is>
          <t>Helpdesk Management</t>
        </is>
      </c>
      <c r="B385" s="32" t="inlineStr">
        <is>
          <t>JhACmaJ</t>
        </is>
      </c>
      <c r="C385" s="32" t="inlineStr">
        <is>
          <t>GenericMeasureProperties</t>
        </is>
      </c>
      <c r="D385" s="32" t="inlineStr"/>
      <c r="E385" s="34" t="n">
        <v>512</v>
      </c>
      <c r="F385" s="32" t="inlineStr">
        <is>
          <t>2015-11-07T21:33:41</t>
        </is>
      </c>
    </row>
    <row r="386">
      <c r="A386" s="37" t="inlineStr">
        <is>
          <t>Helpdesk Management</t>
        </is>
      </c>
      <c r="B386" s="37" t="inlineStr">
        <is>
          <t>2bc4105a-8712-457f-bc9a-5992fd99a36f</t>
        </is>
      </c>
      <c r="C386" s="37" t="inlineStr">
        <is>
          <t>GenericBookmarkEntry</t>
        </is>
      </c>
      <c r="D386" s="37" t="inlineStr"/>
      <c r="E386" s="39" t="n">
        <v>2048</v>
      </c>
      <c r="F386" s="37" t="inlineStr">
        <is>
          <t>2015-11-07T21:33:42</t>
        </is>
      </c>
    </row>
    <row r="387">
      <c r="A387" s="32" t="inlineStr">
        <is>
          <t>Helpdesk Management</t>
        </is>
      </c>
      <c r="B387" s="32" t="inlineStr">
        <is>
          <t>1ff88551-9c4d-41e0-b790-37f4c11d3df8</t>
        </is>
      </c>
      <c r="C387" s="32" t="inlineStr">
        <is>
          <t>GenericAppObjectEntry</t>
        </is>
      </c>
      <c r="D387" s="32" t="inlineStr"/>
      <c r="E387" s="34" t="n">
        <v>2618</v>
      </c>
      <c r="F387" s="32" t="inlineStr">
        <is>
          <t>2015-11-07T21:33:41</t>
        </is>
      </c>
    </row>
    <row r="388">
      <c r="A388" s="37" t="inlineStr">
        <is>
          <t>Helpdesk Management</t>
        </is>
      </c>
      <c r="B388" s="37" t="inlineStr">
        <is>
          <t>93adcc6e-43a2-4503-b081-74f34502e55c</t>
        </is>
      </c>
      <c r="C388" s="37" t="inlineStr">
        <is>
          <t>GenericBookmarkEntry</t>
        </is>
      </c>
      <c r="D388" s="37" t="inlineStr"/>
      <c r="E388" s="39" t="n">
        <v>2048</v>
      </c>
      <c r="F388" s="37" t="inlineStr">
        <is>
          <t>2015-11-07T21:33:42</t>
        </is>
      </c>
    </row>
    <row r="389">
      <c r="A389" s="32" t="inlineStr">
        <is>
          <t>Helpdesk Management</t>
        </is>
      </c>
      <c r="B389" s="32" t="inlineStr">
        <is>
          <t>xJQWme</t>
        </is>
      </c>
      <c r="C389" s="32" t="inlineStr">
        <is>
          <t>GenericBookmarkEntry</t>
        </is>
      </c>
      <c r="D389" s="32" t="inlineStr"/>
      <c r="E389" s="34" t="n">
        <v>2560</v>
      </c>
      <c r="F389" s="32" t="inlineStr">
        <is>
          <t>2015-11-07T21:33:41</t>
        </is>
      </c>
    </row>
    <row r="390">
      <c r="A390" s="37" t="inlineStr">
        <is>
          <t>Helpdesk Management</t>
        </is>
      </c>
      <c r="B390" s="37" t="inlineStr">
        <is>
          <t>Wj01</t>
        </is>
      </c>
      <c r="C390" s="37" t="inlineStr">
        <is>
          <t>GenericBookmarkEntry</t>
        </is>
      </c>
      <c r="D390" s="37" t="inlineStr"/>
      <c r="E390" s="39" t="n">
        <v>2048</v>
      </c>
      <c r="F390" s="37" t="inlineStr">
        <is>
          <t>2015-11-07T21:33:41</t>
        </is>
      </c>
    </row>
    <row r="391">
      <c r="A391" s="32" t="inlineStr">
        <is>
          <t>Helpdesk Management</t>
        </is>
      </c>
      <c r="B391" s="32" t="inlineStr">
        <is>
          <t>NRbtFne</t>
        </is>
      </c>
      <c r="C391" s="32" t="inlineStr">
        <is>
          <t>GenericMeasureProperties</t>
        </is>
      </c>
      <c r="D391" s="32" t="inlineStr"/>
      <c r="E391" s="34" t="n">
        <v>512</v>
      </c>
      <c r="F391" s="32" t="inlineStr">
        <is>
          <t>2015-11-07T21:33:41</t>
        </is>
      </c>
    </row>
    <row r="392">
      <c r="A392" s="37" t="inlineStr">
        <is>
          <t>Helpdesk Management</t>
        </is>
      </c>
      <c r="B392" s="37" t="inlineStr">
        <is>
          <t>ZPuAVF</t>
        </is>
      </c>
      <c r="C392" s="37" t="inlineStr">
        <is>
          <t>GenericBookmarkEntry</t>
        </is>
      </c>
      <c r="D392" s="37" t="inlineStr"/>
      <c r="E392" s="39" t="n">
        <v>1536</v>
      </c>
      <c r="F392" s="37" t="inlineStr">
        <is>
          <t>2015-11-07T21:33:41</t>
        </is>
      </c>
    </row>
    <row r="393">
      <c r="A393" s="32" t="inlineStr">
        <is>
          <t>Helpdesk Management</t>
        </is>
      </c>
      <c r="B393" s="32" t="inlineStr">
        <is>
          <t>bRqqLHx</t>
        </is>
      </c>
      <c r="C393" s="32" t="inlineStr">
        <is>
          <t>GenericBookmarkEntry</t>
        </is>
      </c>
      <c r="D393" s="32" t="inlineStr"/>
      <c r="E393" s="34" t="n">
        <v>1001</v>
      </c>
      <c r="F393" s="32" t="inlineStr">
        <is>
          <t>2015-11-07T21:33:41</t>
        </is>
      </c>
    </row>
    <row r="394">
      <c r="A394" s="37" t="inlineStr">
        <is>
          <t>Helpdesk Management</t>
        </is>
      </c>
      <c r="B394" s="37" t="inlineStr">
        <is>
          <t>RePzDW</t>
        </is>
      </c>
      <c r="C394" s="37" t="inlineStr">
        <is>
          <t>GenericBookmarkEntry</t>
        </is>
      </c>
      <c r="D394" s="37" t="inlineStr"/>
      <c r="E394" s="39" t="n">
        <v>1006</v>
      </c>
      <c r="F394" s="37" t="inlineStr">
        <is>
          <t>2015-11-07T21:33:41</t>
        </is>
      </c>
    </row>
    <row r="395">
      <c r="A395" s="32" t="inlineStr">
        <is>
          <t>Helpdesk Management</t>
        </is>
      </c>
      <c r="B395" s="32" t="inlineStr">
        <is>
          <t>qvapp_approperties</t>
        </is>
      </c>
      <c r="C395" s="32" t="inlineStr">
        <is>
          <t>NxAppProperties</t>
        </is>
      </c>
      <c r="D395" s="32" t="inlineStr"/>
      <c r="E395" s="34" t="n">
        <v>488</v>
      </c>
      <c r="F395" s="32" t="inlineStr">
        <is>
          <t>2015-11-07T21:33:42</t>
        </is>
      </c>
    </row>
    <row r="396">
      <c r="A396" s="37" t="inlineStr">
        <is>
          <t>Helpdesk Management</t>
        </is>
      </c>
      <c r="B396" s="37" t="inlineStr">
        <is>
          <t>amHCpq</t>
        </is>
      </c>
      <c r="C396" s="37" t="inlineStr">
        <is>
          <t>GenericBookmarkEntry</t>
        </is>
      </c>
      <c r="D396" s="37" t="inlineStr"/>
      <c r="E396" s="39" t="n">
        <v>427</v>
      </c>
      <c r="F396" s="37" t="inlineStr">
        <is>
          <t>2015-11-07T21:33:42</t>
        </is>
      </c>
    </row>
    <row r="397">
      <c r="A397" s="32" t="inlineStr">
        <is>
          <t>Helpdesk Management</t>
        </is>
      </c>
      <c r="B397" s="32" t="inlineStr">
        <is>
          <t>mpGQd</t>
        </is>
      </c>
      <c r="C397" s="32" t="inlineStr">
        <is>
          <t>GenericBookmarkEntry</t>
        </is>
      </c>
      <c r="D397" s="32" t="inlineStr"/>
      <c r="E397" s="34" t="n">
        <v>428</v>
      </c>
      <c r="F397" s="32" t="inlineStr">
        <is>
          <t>2015-11-07T21:33:42</t>
        </is>
      </c>
    </row>
    <row r="398">
      <c r="A398" s="37" t="inlineStr">
        <is>
          <t>Helpdesk Management</t>
        </is>
      </c>
      <c r="B398" s="37" t="inlineStr">
        <is>
          <t>wvvjH</t>
        </is>
      </c>
      <c r="C398" s="37" t="inlineStr">
        <is>
          <t>GenericBookmarkEntry</t>
        </is>
      </c>
      <c r="D398" s="37" t="inlineStr"/>
      <c r="E398" s="39" t="n">
        <v>379</v>
      </c>
      <c r="F398" s="37" t="inlineStr">
        <is>
          <t>2015-11-07T21:33:42</t>
        </is>
      </c>
    </row>
    <row r="399">
      <c r="A399" s="32" t="inlineStr">
        <is>
          <t>Helpdesk Management</t>
        </is>
      </c>
      <c r="B399" s="32" t="inlineStr">
        <is>
          <t>qvapp_variablelist</t>
        </is>
      </c>
      <c r="C399" s="32" t="inlineStr">
        <is>
          <t>GenericVariableEntryList</t>
        </is>
      </c>
      <c r="D399" s="32" t="inlineStr"/>
      <c r="E399" s="34" t="n">
        <v>1480</v>
      </c>
      <c r="F399" s="32" t="inlineStr">
        <is>
          <t>2015-11-07T21:33:42</t>
        </is>
      </c>
    </row>
    <row r="400">
      <c r="A400" s="37" t="inlineStr">
        <is>
          <t>Helpdesk Management</t>
        </is>
      </c>
      <c r="B400" s="37" t="inlineStr">
        <is>
          <t>user_variablelist</t>
        </is>
      </c>
      <c r="C400" s="37" t="inlineStr">
        <is>
          <t>GenericVariableEntryList</t>
        </is>
      </c>
      <c r="D400" s="37" t="inlineStr"/>
      <c r="E400" s="39" t="n">
        <v>81</v>
      </c>
      <c r="F400" s="37" t="inlineStr">
        <is>
          <t>2015-11-07T21:33:42</t>
        </is>
      </c>
    </row>
    <row r="401">
      <c r="A401" s="32" t="inlineStr">
        <is>
          <t>Helpdesk Management</t>
        </is>
      </c>
      <c r="B401" s="32" t="inlineStr">
        <is>
          <t>qvapp_derivedfieldlist</t>
        </is>
      </c>
      <c r="C401" s="32" t="inlineStr">
        <is>
          <t>GenericDerivedFieldEntryList</t>
        </is>
      </c>
      <c r="D401" s="32" t="inlineStr"/>
      <c r="E401" s="34" t="n">
        <v>58</v>
      </c>
      <c r="F401" s="32" t="inlineStr">
        <is>
          <t>2015-11-07T21:33:42</t>
        </is>
      </c>
    </row>
    <row r="402">
      <c r="A402" s="37" t="inlineStr">
        <is>
          <t>Helpdesk Management</t>
        </is>
      </c>
      <c r="B402" s="37" t="inlineStr">
        <is>
          <t>qvapp_deriveddefinitionlist</t>
        </is>
      </c>
      <c r="C402" s="37" t="inlineStr">
        <is>
          <t>GenericDerivedDefinitionEntryList</t>
        </is>
      </c>
      <c r="D402" s="37" t="inlineStr"/>
      <c r="E402" s="39" t="n">
        <v>58</v>
      </c>
      <c r="F402" s="37" t="inlineStr">
        <is>
          <t>2015-11-07T21:33:42</t>
        </is>
      </c>
    </row>
    <row r="403">
      <c r="A403" s="32" t="inlineStr">
        <is>
          <t>Sales Analysis</t>
        </is>
      </c>
      <c r="B403" s="32" t="inlineStr">
        <is>
          <t>qvapp_header</t>
        </is>
      </c>
      <c r="C403" s="32" t="inlineStr">
        <is>
          <t>qvapp_header</t>
        </is>
      </c>
      <c r="D403" s="32" t="inlineStr"/>
      <c r="E403" s="34" t="n">
        <v>193</v>
      </c>
      <c r="F403" s="32" t="inlineStr">
        <is>
          <t>2016-01-24T20:04:00</t>
        </is>
      </c>
    </row>
    <row r="404">
      <c r="A404" s="37" t="inlineStr">
        <is>
          <t>Sales Analysis</t>
        </is>
      </c>
      <c r="B404" s="37" t="inlineStr">
        <is>
          <t>data/field_1</t>
        </is>
      </c>
      <c r="C404" s="37" t="inlineStr">
        <is>
          <t>qvapp_cfield</t>
        </is>
      </c>
      <c r="D404" s="37" t="inlineStr"/>
      <c r="E404" s="39" t="n">
        <v>343</v>
      </c>
      <c r="F404" s="37" t="inlineStr">
        <is>
          <t>2015-11-07T21:24:53</t>
        </is>
      </c>
    </row>
    <row r="405">
      <c r="A405" s="32" t="inlineStr">
        <is>
          <t>Sales Analysis</t>
        </is>
      </c>
      <c r="B405" s="32" t="inlineStr">
        <is>
          <t>data/field_2</t>
        </is>
      </c>
      <c r="C405" s="32" t="inlineStr">
        <is>
          <t>qvapp_cfield</t>
        </is>
      </c>
      <c r="D405" s="32" t="inlineStr"/>
      <c r="E405" s="34" t="n">
        <v>207</v>
      </c>
      <c r="F405" s="32" t="inlineStr">
        <is>
          <t>2015-11-07T21:24:53</t>
        </is>
      </c>
    </row>
    <row r="406">
      <c r="A406" s="37" t="inlineStr">
        <is>
          <t>Sales Analysis</t>
        </is>
      </c>
      <c r="B406" s="37" t="inlineStr">
        <is>
          <t>data/field_3</t>
        </is>
      </c>
      <c r="C406" s="37" t="inlineStr">
        <is>
          <t>qvapp_cfield</t>
        </is>
      </c>
      <c r="D406" s="37" t="inlineStr"/>
      <c r="E406" s="39" t="n">
        <v>202</v>
      </c>
      <c r="F406" s="37" t="inlineStr">
        <is>
          <t>2015-11-07T21:24:53</t>
        </is>
      </c>
    </row>
    <row r="407">
      <c r="A407" s="32" t="inlineStr">
        <is>
          <t>Sales Analysis</t>
        </is>
      </c>
      <c r="B407" s="32" t="inlineStr">
        <is>
          <t>data/field_4</t>
        </is>
      </c>
      <c r="C407" s="32" t="inlineStr">
        <is>
          <t>qvapp_cfield</t>
        </is>
      </c>
      <c r="D407" s="32" t="inlineStr"/>
      <c r="E407" s="34" t="n">
        <v>232</v>
      </c>
      <c r="F407" s="32" t="inlineStr">
        <is>
          <t>2015-11-07T21:24:53</t>
        </is>
      </c>
    </row>
    <row r="408">
      <c r="A408" s="37" t="inlineStr">
        <is>
          <t>Sales Analysis</t>
        </is>
      </c>
      <c r="B408" s="37" t="inlineStr">
        <is>
          <t>data/field_9</t>
        </is>
      </c>
      <c r="C408" s="37" t="inlineStr">
        <is>
          <t>qvapp_cfield</t>
        </is>
      </c>
      <c r="D408" s="37" t="inlineStr"/>
      <c r="E408" s="39" t="n">
        <v>1417</v>
      </c>
      <c r="F408" s="37" t="inlineStr">
        <is>
          <t>2015-11-07T21:24:53</t>
        </is>
      </c>
    </row>
    <row r="409">
      <c r="A409" s="32" t="inlineStr">
        <is>
          <t>Sales Analysis</t>
        </is>
      </c>
      <c r="B409" s="32" t="inlineStr">
        <is>
          <t>data/field_23</t>
        </is>
      </c>
      <c r="C409" s="32" t="inlineStr">
        <is>
          <t>qvapp_cfield</t>
        </is>
      </c>
      <c r="D409" s="32" t="inlineStr"/>
      <c r="E409" s="34" t="n">
        <v>2008</v>
      </c>
      <c r="F409" s="32" t="inlineStr">
        <is>
          <t>2015-11-07T21:24:53</t>
        </is>
      </c>
    </row>
    <row r="410">
      <c r="A410" s="37" t="inlineStr">
        <is>
          <t>Sales Analysis</t>
        </is>
      </c>
      <c r="B410" s="37" t="inlineStr">
        <is>
          <t>data/field_24</t>
        </is>
      </c>
      <c r="C410" s="37" t="inlineStr">
        <is>
          <t>qvapp_cfield</t>
        </is>
      </c>
      <c r="D410" s="37" t="inlineStr"/>
      <c r="E410" s="39" t="n">
        <v>1072</v>
      </c>
      <c r="F410" s="37" t="inlineStr">
        <is>
          <t>2015-11-07T21:24:53</t>
        </is>
      </c>
    </row>
    <row r="411">
      <c r="A411" s="32" t="inlineStr">
        <is>
          <t>Sales Analysis</t>
        </is>
      </c>
      <c r="B411" s="32" t="inlineStr">
        <is>
          <t>data/field_25</t>
        </is>
      </c>
      <c r="C411" s="32" t="inlineStr">
        <is>
          <t>qvapp_cfield</t>
        </is>
      </c>
      <c r="D411" s="32" t="inlineStr"/>
      <c r="E411" s="34" t="n">
        <v>226</v>
      </c>
      <c r="F411" s="32" t="inlineStr">
        <is>
          <t>2015-11-07T21:24:53</t>
        </is>
      </c>
    </row>
    <row r="412">
      <c r="A412" s="37" t="inlineStr">
        <is>
          <t>Sales Analysis</t>
        </is>
      </c>
      <c r="B412" s="37" t="inlineStr">
        <is>
          <t>data/field_26</t>
        </is>
      </c>
      <c r="C412" s="37" t="inlineStr">
        <is>
          <t>qvapp_cfield</t>
        </is>
      </c>
      <c r="D412" s="37" t="inlineStr"/>
      <c r="E412" s="39" t="n">
        <v>210</v>
      </c>
      <c r="F412" s="37" t="inlineStr">
        <is>
          <t>2015-11-07T21:24:53</t>
        </is>
      </c>
    </row>
    <row r="413">
      <c r="A413" s="32" t="inlineStr">
        <is>
          <t>Sales Analysis</t>
        </is>
      </c>
      <c r="B413" s="32" t="inlineStr">
        <is>
          <t>data/field_27</t>
        </is>
      </c>
      <c r="C413" s="32" t="inlineStr">
        <is>
          <t>qvapp_cfield</t>
        </is>
      </c>
      <c r="D413" s="32" t="inlineStr"/>
      <c r="E413" s="34" t="n">
        <v>7624</v>
      </c>
      <c r="F413" s="32" t="inlineStr">
        <is>
          <t>2015-11-07T21:24:53</t>
        </is>
      </c>
    </row>
    <row r="414">
      <c r="A414" s="37" t="inlineStr">
        <is>
          <t>Sales Analysis</t>
        </is>
      </c>
      <c r="B414" s="37" t="inlineStr">
        <is>
          <t>data/field_28</t>
        </is>
      </c>
      <c r="C414" s="37" t="inlineStr">
        <is>
          <t>qvapp_cfield</t>
        </is>
      </c>
      <c r="D414" s="37" t="inlineStr"/>
      <c r="E414" s="39" t="n">
        <v>8045</v>
      </c>
      <c r="F414" s="37" t="inlineStr">
        <is>
          <t>2015-11-07T21:24:53</t>
        </is>
      </c>
    </row>
    <row r="415">
      <c r="A415" s="32" t="inlineStr">
        <is>
          <t>Sales Analysis</t>
        </is>
      </c>
      <c r="B415" s="32" t="inlineStr">
        <is>
          <t>data/field_29</t>
        </is>
      </c>
      <c r="C415" s="32" t="inlineStr">
        <is>
          <t>qvapp_cfield</t>
        </is>
      </c>
      <c r="D415" s="32" t="inlineStr"/>
      <c r="E415" s="34" t="n">
        <v>7191</v>
      </c>
      <c r="F415" s="32" t="inlineStr">
        <is>
          <t>2015-11-07T21:24:53</t>
        </is>
      </c>
    </row>
    <row r="416">
      <c r="A416" s="37" t="inlineStr">
        <is>
          <t>Sales Analysis</t>
        </is>
      </c>
      <c r="B416" s="37" t="inlineStr">
        <is>
          <t>data/field_30</t>
        </is>
      </c>
      <c r="C416" s="37" t="inlineStr">
        <is>
          <t>qvapp_cfield</t>
        </is>
      </c>
      <c r="D416" s="37" t="inlineStr"/>
      <c r="E416" s="39" t="n">
        <v>348</v>
      </c>
      <c r="F416" s="37" t="inlineStr">
        <is>
          <t>2015-11-07T21:24:53</t>
        </is>
      </c>
    </row>
    <row r="417">
      <c r="A417" s="32" t="inlineStr">
        <is>
          <t>Sales Analysis</t>
        </is>
      </c>
      <c r="B417" s="32" t="inlineStr">
        <is>
          <t>data/field_31</t>
        </is>
      </c>
      <c r="C417" s="32" t="inlineStr">
        <is>
          <t>qvapp_cfield</t>
        </is>
      </c>
      <c r="D417" s="32" t="inlineStr"/>
      <c r="E417" s="34" t="n">
        <v>3071</v>
      </c>
      <c r="F417" s="32" t="inlineStr">
        <is>
          <t>2015-11-07T21:24:53</t>
        </is>
      </c>
    </row>
    <row r="418">
      <c r="A418" s="37" t="inlineStr">
        <is>
          <t>Sales Analysis</t>
        </is>
      </c>
      <c r="B418" s="37" t="inlineStr">
        <is>
          <t>data/field_32</t>
        </is>
      </c>
      <c r="C418" s="37" t="inlineStr">
        <is>
          <t>qvapp_cfield</t>
        </is>
      </c>
      <c r="D418" s="37" t="inlineStr"/>
      <c r="E418" s="39" t="n">
        <v>2822</v>
      </c>
      <c r="F418" s="37" t="inlineStr">
        <is>
          <t>2015-11-07T21:24:53</t>
        </is>
      </c>
    </row>
    <row r="419">
      <c r="A419" s="32" t="inlineStr">
        <is>
          <t>Sales Analysis</t>
        </is>
      </c>
      <c r="B419" s="32" t="inlineStr">
        <is>
          <t>data/field_33</t>
        </is>
      </c>
      <c r="C419" s="32" t="inlineStr">
        <is>
          <t>qvapp_cfield</t>
        </is>
      </c>
      <c r="D419" s="32" t="inlineStr"/>
      <c r="E419" s="34" t="n">
        <v>195</v>
      </c>
      <c r="F419" s="32" t="inlineStr">
        <is>
          <t>2015-11-07T21:24:53</t>
        </is>
      </c>
    </row>
    <row r="420">
      <c r="A420" s="37" t="inlineStr">
        <is>
          <t>Sales Analysis</t>
        </is>
      </c>
      <c r="B420" s="37" t="inlineStr">
        <is>
          <t>data/field_0</t>
        </is>
      </c>
      <c r="C420" s="37" t="inlineStr">
        <is>
          <t>qvapp_cfield</t>
        </is>
      </c>
      <c r="D420" s="37" t="inlineStr"/>
      <c r="E420" s="39" t="n">
        <v>376</v>
      </c>
      <c r="F420" s="37" t="inlineStr">
        <is>
          <t>2015-11-07T21:24:53</t>
        </is>
      </c>
    </row>
    <row r="421">
      <c r="A421" s="32" t="inlineStr">
        <is>
          <t>Sales Analysis</t>
        </is>
      </c>
      <c r="B421" s="32" t="inlineStr">
        <is>
          <t>data/field_5</t>
        </is>
      </c>
      <c r="C421" s="32" t="inlineStr">
        <is>
          <t>qvapp_cfield</t>
        </is>
      </c>
      <c r="D421" s="32" t="inlineStr"/>
      <c r="E421" s="34" t="n">
        <v>185</v>
      </c>
      <c r="F421" s="32" t="inlineStr">
        <is>
          <t>2015-11-07T21:24:53</t>
        </is>
      </c>
    </row>
    <row r="422">
      <c r="A422" s="37" t="inlineStr">
        <is>
          <t>Sales Analysis</t>
        </is>
      </c>
      <c r="B422" s="37" t="inlineStr">
        <is>
          <t>data/field_6</t>
        </is>
      </c>
      <c r="C422" s="37" t="inlineStr">
        <is>
          <t>qvapp_cfield</t>
        </is>
      </c>
      <c r="D422" s="37" t="inlineStr"/>
      <c r="E422" s="39" t="n">
        <v>196</v>
      </c>
      <c r="F422" s="37" t="inlineStr">
        <is>
          <t>2015-11-07T21:24:53</t>
        </is>
      </c>
    </row>
    <row r="423">
      <c r="A423" s="32" t="inlineStr">
        <is>
          <t>Sales Analysis</t>
        </is>
      </c>
      <c r="B423" s="32" t="inlineStr">
        <is>
          <t>data/field_7</t>
        </is>
      </c>
      <c r="C423" s="32" t="inlineStr">
        <is>
          <t>qvapp_cfield</t>
        </is>
      </c>
      <c r="D423" s="32" t="inlineStr"/>
      <c r="E423" s="34" t="n">
        <v>280</v>
      </c>
      <c r="F423" s="32" t="inlineStr">
        <is>
          <t>2015-11-07T21:24:53</t>
        </is>
      </c>
    </row>
    <row r="424">
      <c r="A424" s="37" t="inlineStr">
        <is>
          <t>Sales Analysis</t>
        </is>
      </c>
      <c r="B424" s="37" t="inlineStr">
        <is>
          <t>data/field_8</t>
        </is>
      </c>
      <c r="C424" s="37" t="inlineStr">
        <is>
          <t>qvapp_cfield</t>
        </is>
      </c>
      <c r="D424" s="37" t="inlineStr"/>
      <c r="E424" s="39" t="n">
        <v>281</v>
      </c>
      <c r="F424" s="37" t="inlineStr">
        <is>
          <t>2015-11-07T21:24:53</t>
        </is>
      </c>
    </row>
    <row r="425">
      <c r="A425" s="32" t="inlineStr">
        <is>
          <t>Sales Analysis</t>
        </is>
      </c>
      <c r="B425" s="32" t="inlineStr">
        <is>
          <t>data/field_10</t>
        </is>
      </c>
      <c r="C425" s="32" t="inlineStr">
        <is>
          <t>qvapp_cfield</t>
        </is>
      </c>
      <c r="D425" s="32" t="inlineStr"/>
      <c r="E425" s="34" t="n">
        <v>699</v>
      </c>
      <c r="F425" s="32" t="inlineStr">
        <is>
          <t>2015-11-07T21:24:53</t>
        </is>
      </c>
    </row>
    <row r="426">
      <c r="A426" s="37" t="inlineStr">
        <is>
          <t>Sales Analysis</t>
        </is>
      </c>
      <c r="B426" s="37" t="inlineStr">
        <is>
          <t>data/field_11</t>
        </is>
      </c>
      <c r="C426" s="37" t="inlineStr">
        <is>
          <t>qvapp_cfield</t>
        </is>
      </c>
      <c r="D426" s="37" t="inlineStr"/>
      <c r="E426" s="39" t="n">
        <v>1132</v>
      </c>
      <c r="F426" s="37" t="inlineStr">
        <is>
          <t>2015-11-07T21:24:53</t>
        </is>
      </c>
    </row>
    <row r="427">
      <c r="A427" s="32" t="inlineStr">
        <is>
          <t>Sales Analysis</t>
        </is>
      </c>
      <c r="B427" s="32" t="inlineStr">
        <is>
          <t>data/field_12</t>
        </is>
      </c>
      <c r="C427" s="32" t="inlineStr">
        <is>
          <t>qvapp_cfield</t>
        </is>
      </c>
      <c r="D427" s="32" t="inlineStr"/>
      <c r="E427" s="34" t="n">
        <v>353</v>
      </c>
      <c r="F427" s="32" t="inlineStr">
        <is>
          <t>2015-11-07T21:24:53</t>
        </is>
      </c>
    </row>
    <row r="428">
      <c r="A428" s="37" t="inlineStr">
        <is>
          <t>Sales Analysis</t>
        </is>
      </c>
      <c r="B428" s="37" t="inlineStr">
        <is>
          <t>data/field_13</t>
        </is>
      </c>
      <c r="C428" s="37" t="inlineStr">
        <is>
          <t>qvapp_cfield</t>
        </is>
      </c>
      <c r="D428" s="37" t="inlineStr"/>
      <c r="E428" s="39" t="n">
        <v>1146</v>
      </c>
      <c r="F428" s="37" t="inlineStr">
        <is>
          <t>2015-11-07T21:24:53</t>
        </is>
      </c>
    </row>
    <row r="429">
      <c r="A429" s="32" t="inlineStr">
        <is>
          <t>Sales Analysis</t>
        </is>
      </c>
      <c r="B429" s="32" t="inlineStr">
        <is>
          <t>data/field_14</t>
        </is>
      </c>
      <c r="C429" s="32" t="inlineStr">
        <is>
          <t>qvapp_cfield</t>
        </is>
      </c>
      <c r="D429" s="32" t="inlineStr"/>
      <c r="E429" s="34" t="n">
        <v>415</v>
      </c>
      <c r="F429" s="32" t="inlineStr">
        <is>
          <t>2015-11-07T21:24:53</t>
        </is>
      </c>
    </row>
    <row r="430">
      <c r="A430" s="37" t="inlineStr">
        <is>
          <t>Sales Analysis</t>
        </is>
      </c>
      <c r="B430" s="37" t="inlineStr">
        <is>
          <t>data/field_15</t>
        </is>
      </c>
      <c r="C430" s="37" t="inlineStr">
        <is>
          <t>qvapp_cfield</t>
        </is>
      </c>
      <c r="D430" s="37" t="inlineStr"/>
      <c r="E430" s="39" t="n">
        <v>662</v>
      </c>
      <c r="F430" s="37" t="inlineStr">
        <is>
          <t>2015-11-07T21:24:53</t>
        </is>
      </c>
    </row>
    <row r="431">
      <c r="A431" s="32" t="inlineStr">
        <is>
          <t>Sales Analysis</t>
        </is>
      </c>
      <c r="B431" s="32" t="inlineStr">
        <is>
          <t>data/field_16</t>
        </is>
      </c>
      <c r="C431" s="32" t="inlineStr">
        <is>
          <t>qvapp_cfield</t>
        </is>
      </c>
      <c r="D431" s="32" t="inlineStr"/>
      <c r="E431" s="34" t="n">
        <v>786</v>
      </c>
      <c r="F431" s="32" t="inlineStr">
        <is>
          <t>2015-11-07T21:24:53</t>
        </is>
      </c>
    </row>
    <row r="432">
      <c r="A432" s="37" t="inlineStr">
        <is>
          <t>Sales Analysis</t>
        </is>
      </c>
      <c r="B432" s="37" t="inlineStr">
        <is>
          <t>data/field_17</t>
        </is>
      </c>
      <c r="C432" s="37" t="inlineStr">
        <is>
          <t>qvapp_cfield</t>
        </is>
      </c>
      <c r="D432" s="37" t="inlineStr"/>
      <c r="E432" s="39" t="n">
        <v>427</v>
      </c>
      <c r="F432" s="37" t="inlineStr">
        <is>
          <t>2015-11-07T21:24:53</t>
        </is>
      </c>
    </row>
    <row r="433">
      <c r="A433" s="32" t="inlineStr">
        <is>
          <t>Sales Analysis</t>
        </is>
      </c>
      <c r="B433" s="32" t="inlineStr">
        <is>
          <t>data/field_18</t>
        </is>
      </c>
      <c r="C433" s="32" t="inlineStr">
        <is>
          <t>qvapp_cfield</t>
        </is>
      </c>
      <c r="D433" s="32" t="inlineStr"/>
      <c r="E433" s="34" t="n">
        <v>259</v>
      </c>
      <c r="F433" s="32" t="inlineStr">
        <is>
          <t>2015-11-07T21:24:53</t>
        </is>
      </c>
    </row>
    <row r="434">
      <c r="A434" s="37" t="inlineStr">
        <is>
          <t>Sales Analysis</t>
        </is>
      </c>
      <c r="B434" s="37" t="inlineStr">
        <is>
          <t>data/field_19</t>
        </is>
      </c>
      <c r="C434" s="37" t="inlineStr">
        <is>
          <t>qvapp_cfield</t>
        </is>
      </c>
      <c r="D434" s="37" t="inlineStr"/>
      <c r="E434" s="39" t="n">
        <v>276</v>
      </c>
      <c r="F434" s="37" t="inlineStr">
        <is>
          <t>2015-11-07T21:24:53</t>
        </is>
      </c>
    </row>
    <row r="435">
      <c r="A435" s="32" t="inlineStr">
        <is>
          <t>Sales Analysis</t>
        </is>
      </c>
      <c r="B435" s="32" t="inlineStr">
        <is>
          <t>data/field_20</t>
        </is>
      </c>
      <c r="C435" s="32" t="inlineStr">
        <is>
          <t>qvapp_cfield</t>
        </is>
      </c>
      <c r="D435" s="32" t="inlineStr"/>
      <c r="E435" s="34" t="n">
        <v>196</v>
      </c>
      <c r="F435" s="32" t="inlineStr">
        <is>
          <t>2015-11-07T21:24:53</t>
        </is>
      </c>
    </row>
    <row r="436">
      <c r="A436" s="37" t="inlineStr">
        <is>
          <t>Sales Analysis</t>
        </is>
      </c>
      <c r="B436" s="37" t="inlineStr">
        <is>
          <t>data/field_21</t>
        </is>
      </c>
      <c r="C436" s="37" t="inlineStr">
        <is>
          <t>qvapp_cfield</t>
        </is>
      </c>
      <c r="D436" s="37" t="inlineStr"/>
      <c r="E436" s="39" t="n">
        <v>911</v>
      </c>
      <c r="F436" s="37" t="inlineStr">
        <is>
          <t>2015-11-07T21:24:53</t>
        </is>
      </c>
    </row>
    <row r="437">
      <c r="A437" s="32" t="inlineStr">
        <is>
          <t>Sales Analysis</t>
        </is>
      </c>
      <c r="B437" s="32" t="inlineStr">
        <is>
          <t>data/field_22</t>
        </is>
      </c>
      <c r="C437" s="32" t="inlineStr">
        <is>
          <t>qvapp_cfield</t>
        </is>
      </c>
      <c r="D437" s="32" t="inlineStr"/>
      <c r="E437" s="34" t="n">
        <v>196</v>
      </c>
      <c r="F437" s="32" t="inlineStr">
        <is>
          <t>2015-11-07T21:24:53</t>
        </is>
      </c>
    </row>
    <row r="438">
      <c r="A438" s="37" t="inlineStr">
        <is>
          <t>Sales Analysis</t>
        </is>
      </c>
      <c r="B438" s="37" t="inlineStr">
        <is>
          <t>data/table_1</t>
        </is>
      </c>
      <c r="C438" s="37" t="inlineStr">
        <is>
          <t>qvapp_ctable</t>
        </is>
      </c>
      <c r="D438" s="37" t="inlineStr"/>
      <c r="E438" s="39" t="n">
        <v>1462</v>
      </c>
      <c r="F438" s="37" t="inlineStr">
        <is>
          <t>2016-01-24T20:04:00</t>
        </is>
      </c>
    </row>
    <row r="439">
      <c r="A439" s="32" t="inlineStr">
        <is>
          <t>Sales Analysis</t>
        </is>
      </c>
      <c r="B439" s="32" t="inlineStr">
        <is>
          <t>data/table_2</t>
        </is>
      </c>
      <c r="C439" s="32" t="inlineStr">
        <is>
          <t>qvapp_ctable</t>
        </is>
      </c>
      <c r="D439" s="32" t="inlineStr"/>
      <c r="E439" s="34" t="n">
        <v>525</v>
      </c>
      <c r="F439" s="32" t="inlineStr">
        <is>
          <t>2016-01-24T20:04:00</t>
        </is>
      </c>
    </row>
    <row r="440">
      <c r="A440" s="37" t="inlineStr">
        <is>
          <t>Sales Analysis</t>
        </is>
      </c>
      <c r="B440" s="37" t="inlineStr">
        <is>
          <t>data/table_3</t>
        </is>
      </c>
      <c r="C440" s="37" t="inlineStr">
        <is>
          <t>qvapp_ctable</t>
        </is>
      </c>
      <c r="D440" s="37" t="inlineStr"/>
      <c r="E440" s="39" t="n">
        <v>24592</v>
      </c>
      <c r="F440" s="37" t="inlineStr">
        <is>
          <t>2016-01-24T20:04:00</t>
        </is>
      </c>
    </row>
    <row r="441">
      <c r="A441" s="32" t="inlineStr">
        <is>
          <t>Sales Analysis</t>
        </is>
      </c>
      <c r="B441" s="32" t="inlineStr">
        <is>
          <t>data/table_4</t>
        </is>
      </c>
      <c r="C441" s="32" t="inlineStr">
        <is>
          <t>qvapp_ctable</t>
        </is>
      </c>
      <c r="D441" s="32" t="inlineStr"/>
      <c r="E441" s="34" t="n">
        <v>228</v>
      </c>
      <c r="F441" s="32" t="inlineStr">
        <is>
          <t>2016-01-24T20:04:00</t>
        </is>
      </c>
    </row>
    <row r="442">
      <c r="A442" s="37" t="inlineStr">
        <is>
          <t>Sales Analysis</t>
        </is>
      </c>
      <c r="B442" s="37" t="inlineStr">
        <is>
          <t>data/table_5</t>
        </is>
      </c>
      <c r="C442" s="37" t="inlineStr">
        <is>
          <t>qvapp_ctable</t>
        </is>
      </c>
      <c r="D442" s="37" t="inlineStr"/>
      <c r="E442" s="39" t="n">
        <v>184</v>
      </c>
      <c r="F442" s="37" t="inlineStr">
        <is>
          <t>2016-01-24T20:04:00</t>
        </is>
      </c>
    </row>
    <row r="443">
      <c r="A443" s="32" t="inlineStr">
        <is>
          <t>Sales Analysis</t>
        </is>
      </c>
      <c r="B443" s="32" t="inlineStr">
        <is>
          <t>data/table_0</t>
        </is>
      </c>
      <c r="C443" s="32" t="inlineStr">
        <is>
          <t>qvapp_ctable</t>
        </is>
      </c>
      <c r="D443" s="32" t="inlineStr"/>
      <c r="E443" s="34" t="n">
        <v>267</v>
      </c>
      <c r="F443" s="32" t="inlineStr">
        <is>
          <t>2016-01-24T20:04:00</t>
        </is>
      </c>
    </row>
    <row r="444">
      <c r="A444" s="37" t="inlineStr">
        <is>
          <t>Sales Analysis</t>
        </is>
      </c>
      <c r="B444" s="37" t="inlineStr">
        <is>
          <t>data/table_6</t>
        </is>
      </c>
      <c r="C444" s="37" t="inlineStr">
        <is>
          <t>qvapp_ctable</t>
        </is>
      </c>
      <c r="D444" s="37" t="inlineStr"/>
      <c r="E444" s="39" t="n">
        <v>137</v>
      </c>
      <c r="F444" s="37" t="inlineStr">
        <is>
          <t>2016-01-24T20:04:00</t>
        </is>
      </c>
    </row>
    <row r="445">
      <c r="A445" s="32" t="inlineStr">
        <is>
          <t>Sales Analysis</t>
        </is>
      </c>
      <c r="B445" s="32" t="inlineStr">
        <is>
          <t>qvapp_variablelist</t>
        </is>
      </c>
      <c r="C445" s="32" t="inlineStr">
        <is>
          <t>GenericVariableEntryList</t>
        </is>
      </c>
      <c r="D445" s="32" t="inlineStr"/>
      <c r="E445" s="34" t="n">
        <v>1266</v>
      </c>
      <c r="F445" s="32" t="inlineStr">
        <is>
          <t>2015-11-07T21:03:54</t>
        </is>
      </c>
    </row>
    <row r="446">
      <c r="A446" s="37" t="inlineStr">
        <is>
          <t>Sales Analysis</t>
        </is>
      </c>
      <c r="B446" s="37" t="inlineStr">
        <is>
          <t>user_variablelist</t>
        </is>
      </c>
      <c r="C446" s="37" t="inlineStr">
        <is>
          <t>GenericVariableEntryList</t>
        </is>
      </c>
      <c r="D446" s="37" t="inlineStr"/>
      <c r="E446" s="39" t="n">
        <v>232</v>
      </c>
      <c r="F446" s="37" t="inlineStr">
        <is>
          <t>2016-01-24T20:04:00</t>
        </is>
      </c>
    </row>
    <row r="447">
      <c r="A447" s="32" t="inlineStr">
        <is>
          <t>Sales Analysis</t>
        </is>
      </c>
      <c r="B447" s="32" t="inlineStr">
        <is>
          <t>qvapp_appscript</t>
        </is>
      </c>
      <c r="C447" s="32" t="inlineStr">
        <is>
          <t>AppScriptObject</t>
        </is>
      </c>
      <c r="D447" s="32" t="inlineStr"/>
      <c r="E447" s="34" t="n">
        <v>762</v>
      </c>
      <c r="F447" s="32" t="inlineStr">
        <is>
          <t>2015-11-12T20:01:38</t>
        </is>
      </c>
    </row>
    <row r="448">
      <c r="A448" s="37" t="inlineStr">
        <is>
          <t>Sales Analysis</t>
        </is>
      </c>
      <c r="B448" s="37" t="inlineStr">
        <is>
          <t>qvapp_allproperties</t>
        </is>
      </c>
      <c r="C448" s="37" t="inlineStr">
        <is>
          <t>AllProperties</t>
        </is>
      </c>
      <c r="D448" s="37" t="inlineStr"/>
      <c r="E448" s="39" t="n">
        <v>126346</v>
      </c>
      <c r="F448" s="37" t="inlineStr">
        <is>
          <t>2016-01-24T20:04:00</t>
        </is>
      </c>
    </row>
    <row r="449">
      <c r="A449" s="32" t="inlineStr">
        <is>
          <t>Sales Analysis</t>
        </is>
      </c>
      <c r="B449" s="32" t="inlineStr">
        <is>
          <t>qvapp_approperties</t>
        </is>
      </c>
      <c r="C449" s="32" t="inlineStr">
        <is>
          <t>NxAppProperties</t>
        </is>
      </c>
      <c r="D449" s="32" t="inlineStr"/>
      <c r="E449" s="34" t="n">
        <v>176</v>
      </c>
      <c r="F449" s="32" t="inlineStr">
        <is>
          <t>2016-01-24T20:04:00</t>
        </is>
      </c>
    </row>
    <row r="450">
      <c r="A450" s="37" t="inlineStr">
        <is>
          <t>Sales Analysis</t>
        </is>
      </c>
      <c r="B450" s="37" t="inlineStr">
        <is>
          <t>qvapp_derivedfieldlist</t>
        </is>
      </c>
      <c r="C450" s="37" t="inlineStr">
        <is>
          <t>GenericDerivedFieldEntryList</t>
        </is>
      </c>
      <c r="D450" s="37" t="inlineStr"/>
      <c r="E450" s="39" t="n">
        <v>58</v>
      </c>
      <c r="F450" s="37" t="inlineStr">
        <is>
          <t>2015-11-07T21:00:38</t>
        </is>
      </c>
    </row>
    <row r="451">
      <c r="A451" s="32" t="inlineStr">
        <is>
          <t>Sales Analysis</t>
        </is>
      </c>
      <c r="B451" s="32" t="inlineStr">
        <is>
          <t>qvapp_deriveddefinitionlist</t>
        </is>
      </c>
      <c r="C451" s="32" t="inlineStr">
        <is>
          <t>GenericDerivedDefinitionEntryList</t>
        </is>
      </c>
      <c r="D451" s="32" t="inlineStr"/>
      <c r="E451" s="34" t="n">
        <v>58</v>
      </c>
      <c r="F451" s="32" t="inlineStr">
        <is>
          <t>2015-11-07T21:00:38</t>
        </is>
      </c>
    </row>
    <row r="452">
      <c r="A452" s="37" t="inlineStr">
        <is>
          <t>Sales Analysis</t>
        </is>
      </c>
      <c r="B452" s="37" t="inlineStr">
        <is>
          <t>qvapp_data</t>
        </is>
      </c>
      <c r="C452" s="37" t="inlineStr">
        <is>
          <t>qvapp_cheader</t>
        </is>
      </c>
      <c r="D452" s="37" t="inlineStr"/>
      <c r="E452" s="39" t="n">
        <v>2883</v>
      </c>
      <c r="F452" s="37" t="inlineStr">
        <is>
          <t>2016-01-24T20:04:00</t>
        </is>
      </c>
    </row>
    <row r="453">
      <c r="A453" s="32" t="inlineStr">
        <is>
          <t>Sales Analysis</t>
        </is>
      </c>
      <c r="B453" s="32" t="inlineStr">
        <is>
          <t>qvapp_qaccess</t>
        </is>
      </c>
      <c r="C453" s="32" t="inlineStr">
        <is>
          <t>qvapp_data</t>
        </is>
      </c>
      <c r="D453" s="32" t="inlineStr"/>
      <c r="E453" s="34" t="n">
        <v>27</v>
      </c>
      <c r="F453" s="32" t="inlineStr">
        <is>
          <t>2016-01-24T20:04:00</t>
        </is>
      </c>
    </row>
    <row r="454">
      <c r="A454" s="37" t="inlineStr">
        <is>
          <t>Sales Analysis</t>
        </is>
      </c>
      <c r="B454" s="37" t="inlineStr">
        <is>
          <t>LoadModel</t>
        </is>
      </c>
      <c r="C454" s="37" t="inlineStr">
        <is>
          <t>GenericAppObjectEntry</t>
        </is>
      </c>
      <c r="D454" s="37" t="inlineStr"/>
      <c r="E454" s="39" t="n">
        <v>1085</v>
      </c>
      <c r="F454" s="37" t="inlineStr">
        <is>
          <t>2015-11-12T20:01:38</t>
        </is>
      </c>
    </row>
    <row r="455">
      <c r="A455" s="32" t="inlineStr">
        <is>
          <t>Sales Analysis</t>
        </is>
      </c>
      <c r="B455" s="32" t="inlineStr">
        <is>
          <t>RpwpQEp</t>
        </is>
      </c>
      <c r="C455" s="32" t="inlineStr">
        <is>
          <t>GenericAppObjectEntry</t>
        </is>
      </c>
      <c r="D455" s="32" t="inlineStr"/>
      <c r="E455" s="34" t="n">
        <v>1359</v>
      </c>
      <c r="F455" s="32" t="inlineStr">
        <is>
          <t>2016-01-24T20:04:00</t>
        </is>
      </c>
    </row>
    <row r="456">
      <c r="A456" s="37" t="inlineStr">
        <is>
          <t>TryConfigColorAndAgrField</t>
        </is>
      </c>
      <c r="B456" s="37" t="inlineStr">
        <is>
          <t>qvapp_header</t>
        </is>
      </c>
      <c r="C456" s="37" t="inlineStr">
        <is>
          <t>qvapp_header</t>
        </is>
      </c>
      <c r="D456" s="37" t="inlineStr"/>
      <c r="E456" s="39" t="n">
        <v>193</v>
      </c>
      <c r="F456" s="37" t="inlineStr">
        <is>
          <t>2016-03-06T16:14:37</t>
        </is>
      </c>
    </row>
    <row r="457">
      <c r="A457" s="32" t="inlineStr">
        <is>
          <t>TryConfigColorAndAgrField</t>
        </is>
      </c>
      <c r="B457" s="32" t="inlineStr">
        <is>
          <t>data/field_5</t>
        </is>
      </c>
      <c r="C457" s="32" t="inlineStr">
        <is>
          <t>qvapp_cfield</t>
        </is>
      </c>
      <c r="D457" s="32" t="inlineStr"/>
      <c r="E457" s="34" t="n">
        <v>185</v>
      </c>
      <c r="F457" s="32" t="inlineStr">
        <is>
          <t>2016-03-06T15:30:55</t>
        </is>
      </c>
    </row>
    <row r="458">
      <c r="A458" s="37" t="inlineStr">
        <is>
          <t>TryConfigColorAndAgrField</t>
        </is>
      </c>
      <c r="B458" s="37" t="inlineStr">
        <is>
          <t>data/table_1</t>
        </is>
      </c>
      <c r="C458" s="37" t="inlineStr">
        <is>
          <t>qvapp_ctable</t>
        </is>
      </c>
      <c r="D458" s="37" t="inlineStr"/>
      <c r="E458" s="39" t="n">
        <v>190</v>
      </c>
      <c r="F458" s="37" t="inlineStr">
        <is>
          <t>2016-03-06T15:53:12</t>
        </is>
      </c>
    </row>
    <row r="459">
      <c r="A459" s="32" t="inlineStr">
        <is>
          <t>TryConfigColorAndAgrField</t>
        </is>
      </c>
      <c r="B459" s="32" t="inlineStr">
        <is>
          <t>data/table_2</t>
        </is>
      </c>
      <c r="C459" s="32" t="inlineStr">
        <is>
          <t>qvapp_ctable</t>
        </is>
      </c>
      <c r="D459" s="32" t="inlineStr"/>
      <c r="E459" s="34" t="n">
        <v>186</v>
      </c>
      <c r="F459" s="32" t="inlineStr">
        <is>
          <t>2016-03-06T15:53:12</t>
        </is>
      </c>
    </row>
    <row r="460">
      <c r="A460" s="37" t="inlineStr">
        <is>
          <t>TryConfigColorAndAgrField</t>
        </is>
      </c>
      <c r="B460" s="37" t="inlineStr">
        <is>
          <t>data/table_3</t>
        </is>
      </c>
      <c r="C460" s="37" t="inlineStr">
        <is>
          <t>qvapp_ctable</t>
        </is>
      </c>
      <c r="D460" s="37" t="inlineStr"/>
      <c r="E460" s="39" t="n">
        <v>184</v>
      </c>
      <c r="F460" s="37" t="inlineStr">
        <is>
          <t>2016-03-06T15:53:12</t>
        </is>
      </c>
    </row>
    <row r="461">
      <c r="A461" s="32" t="inlineStr">
        <is>
          <t>TryConfigColorAndAgrField</t>
        </is>
      </c>
      <c r="B461" s="32" t="inlineStr">
        <is>
          <t>data/table_0</t>
        </is>
      </c>
      <c r="C461" s="32" t="inlineStr">
        <is>
          <t>qvapp_ctable</t>
        </is>
      </c>
      <c r="D461" s="32" t="inlineStr"/>
      <c r="E461" s="34" t="n">
        <v>230</v>
      </c>
      <c r="F461" s="32" t="inlineStr">
        <is>
          <t>2016-03-06T15:53:12</t>
        </is>
      </c>
    </row>
    <row r="462">
      <c r="A462" s="37" t="inlineStr">
        <is>
          <t>TryConfigColorAndAgrField</t>
        </is>
      </c>
      <c r="B462" s="37" t="inlineStr">
        <is>
          <t>data/field_3</t>
        </is>
      </c>
      <c r="C462" s="37" t="inlineStr">
        <is>
          <t>qvapp_cfield</t>
        </is>
      </c>
      <c r="D462" s="37" t="inlineStr"/>
      <c r="E462" s="39" t="n">
        <v>192</v>
      </c>
      <c r="F462" s="37" t="inlineStr">
        <is>
          <t>2016-03-06T15:53:12</t>
        </is>
      </c>
    </row>
    <row r="463">
      <c r="A463" s="32" t="inlineStr">
        <is>
          <t>TryConfigColorAndAgrField</t>
        </is>
      </c>
      <c r="B463" s="32" t="inlineStr">
        <is>
          <t>data/field_2</t>
        </is>
      </c>
      <c r="C463" s="32" t="inlineStr">
        <is>
          <t>qvapp_cfield</t>
        </is>
      </c>
      <c r="D463" s="32" t="inlineStr"/>
      <c r="E463" s="34" t="n">
        <v>192</v>
      </c>
      <c r="F463" s="32" t="inlineStr">
        <is>
          <t>2016-03-06T15:53:12</t>
        </is>
      </c>
    </row>
    <row r="464">
      <c r="A464" s="37" t="inlineStr">
        <is>
          <t>TryConfigColorAndAgrField</t>
        </is>
      </c>
      <c r="B464" s="37" t="inlineStr">
        <is>
          <t>data/field_4</t>
        </is>
      </c>
      <c r="C464" s="37" t="inlineStr">
        <is>
          <t>qvapp_cfield</t>
        </is>
      </c>
      <c r="D464" s="37" t="inlineStr"/>
      <c r="E464" s="39" t="n">
        <v>195</v>
      </c>
      <c r="F464" s="37" t="inlineStr">
        <is>
          <t>2016-03-06T15:53:12</t>
        </is>
      </c>
    </row>
    <row r="465">
      <c r="A465" s="32" t="inlineStr">
        <is>
          <t>TryConfigColorAndAgrField</t>
        </is>
      </c>
      <c r="B465" s="32" t="inlineStr">
        <is>
          <t>data/field_6</t>
        </is>
      </c>
      <c r="C465" s="32" t="inlineStr">
        <is>
          <t>qvapp_cfield</t>
        </is>
      </c>
      <c r="D465" s="32" t="inlineStr"/>
      <c r="E465" s="34" t="n">
        <v>200</v>
      </c>
      <c r="F465" s="32" t="inlineStr">
        <is>
          <t>2016-03-06T15:53:12</t>
        </is>
      </c>
    </row>
    <row r="466">
      <c r="A466" s="37" t="inlineStr">
        <is>
          <t>TryConfigColorAndAgrField</t>
        </is>
      </c>
      <c r="B466" s="37" t="inlineStr">
        <is>
          <t>data/field_1</t>
        </is>
      </c>
      <c r="C466" s="37" t="inlineStr">
        <is>
          <t>qvapp_cfield</t>
        </is>
      </c>
      <c r="D466" s="37" t="inlineStr"/>
      <c r="E466" s="39" t="n">
        <v>288</v>
      </c>
      <c r="F466" s="37" t="inlineStr">
        <is>
          <t>2016-03-06T15:53:12</t>
        </is>
      </c>
    </row>
    <row r="467">
      <c r="A467" s="32" t="inlineStr">
        <is>
          <t>TryConfigColorAndAgrField</t>
        </is>
      </c>
      <c r="B467" s="32" t="inlineStr">
        <is>
          <t>data/field_0</t>
        </is>
      </c>
      <c r="C467" s="32" t="inlineStr">
        <is>
          <t>qvapp_cfield</t>
        </is>
      </c>
      <c r="D467" s="32" t="inlineStr"/>
      <c r="E467" s="34" t="n">
        <v>240</v>
      </c>
      <c r="F467" s="32" t="inlineStr">
        <is>
          <t>2016-03-06T15:53:12</t>
        </is>
      </c>
    </row>
    <row r="468">
      <c r="A468" s="37" t="inlineStr">
        <is>
          <t>TryConfigColorAndAgrField</t>
        </is>
      </c>
      <c r="B468" s="37" t="inlineStr">
        <is>
          <t>data/field_7</t>
        </is>
      </c>
      <c r="C468" s="37" t="inlineStr">
        <is>
          <t>qvapp_cfield</t>
        </is>
      </c>
      <c r="D468" s="37" t="inlineStr"/>
      <c r="E468" s="39" t="n">
        <v>204</v>
      </c>
      <c r="F468" s="37" t="inlineStr">
        <is>
          <t>2016-03-06T15:53:12</t>
        </is>
      </c>
    </row>
    <row r="469">
      <c r="A469" s="32" t="inlineStr">
        <is>
          <t>TryConfigColorAndAgrField</t>
        </is>
      </c>
      <c r="B469" s="32" t="inlineStr">
        <is>
          <t>data/field_8</t>
        </is>
      </c>
      <c r="C469" s="32" t="inlineStr">
        <is>
          <t>qvapp_cfield</t>
        </is>
      </c>
      <c r="D469" s="32" t="inlineStr"/>
      <c r="E469" s="34" t="n">
        <v>204</v>
      </c>
      <c r="F469" s="32" t="inlineStr">
        <is>
          <t>2016-03-06T15:53:12</t>
        </is>
      </c>
    </row>
    <row r="470">
      <c r="A470" s="37" t="inlineStr">
        <is>
          <t>TryConfigColorAndAgrField</t>
        </is>
      </c>
      <c r="B470" s="37" t="inlineStr">
        <is>
          <t>data/field_9</t>
        </is>
      </c>
      <c r="C470" s="37" t="inlineStr">
        <is>
          <t>qvapp_cfield</t>
        </is>
      </c>
      <c r="D470" s="37" t="inlineStr"/>
      <c r="E470" s="39" t="n">
        <v>212</v>
      </c>
      <c r="F470" s="37" t="inlineStr">
        <is>
          <t>2016-03-06T15:53:12</t>
        </is>
      </c>
    </row>
    <row r="471">
      <c r="A471" s="32" t="inlineStr">
        <is>
          <t>TryConfigColorAndAgrField</t>
        </is>
      </c>
      <c r="B471" s="32" t="inlineStr">
        <is>
          <t>data/field_10</t>
        </is>
      </c>
      <c r="C471" s="32" t="inlineStr">
        <is>
          <t>qvapp_cfield</t>
        </is>
      </c>
      <c r="D471" s="32" t="inlineStr"/>
      <c r="E471" s="34" t="n">
        <v>216</v>
      </c>
      <c r="F471" s="32" t="inlineStr">
        <is>
          <t>2016-03-06T15:53:12</t>
        </is>
      </c>
    </row>
    <row r="472">
      <c r="A472" s="37" t="inlineStr">
        <is>
          <t>TryConfigColorAndAgrField</t>
        </is>
      </c>
      <c r="B472" s="37" t="inlineStr">
        <is>
          <t>data/table_4</t>
        </is>
      </c>
      <c r="C472" s="37" t="inlineStr">
        <is>
          <t>qvapp_ctable</t>
        </is>
      </c>
      <c r="D472" s="37" t="inlineStr"/>
      <c r="E472" s="39" t="n">
        <v>120</v>
      </c>
      <c r="F472" s="37" t="inlineStr">
        <is>
          <t>2016-03-06T15:53:12</t>
        </is>
      </c>
    </row>
    <row r="473">
      <c r="A473" s="32" t="inlineStr">
        <is>
          <t>TryConfigColorAndAgrField</t>
        </is>
      </c>
      <c r="B473" s="32" t="inlineStr">
        <is>
          <t>qvapp_variablelist</t>
        </is>
      </c>
      <c r="C473" s="32" t="inlineStr">
        <is>
          <t>GenericVariableEntryList</t>
        </is>
      </c>
      <c r="D473" s="32" t="inlineStr"/>
      <c r="E473" s="34" t="n">
        <v>1402</v>
      </c>
      <c r="F473" s="32" t="inlineStr">
        <is>
          <t>2016-03-06T15:53:12</t>
        </is>
      </c>
    </row>
    <row r="474">
      <c r="A474" s="37" t="inlineStr">
        <is>
          <t>TryConfigColorAndAgrField</t>
        </is>
      </c>
      <c r="B474" s="37" t="inlineStr">
        <is>
          <t>user_variablelist</t>
        </is>
      </c>
      <c r="C474" s="37" t="inlineStr">
        <is>
          <t>GenericVariableEntryList</t>
        </is>
      </c>
      <c r="D474" s="37" t="inlineStr"/>
      <c r="E474" s="39" t="n">
        <v>81</v>
      </c>
      <c r="F474" s="37" t="inlineStr">
        <is>
          <t>2016-03-06T15:29:08</t>
        </is>
      </c>
    </row>
    <row r="475">
      <c r="A475" s="32" t="inlineStr">
        <is>
          <t>TryConfigColorAndAgrField</t>
        </is>
      </c>
      <c r="B475" s="32" t="inlineStr">
        <is>
          <t>qvapp_appscript</t>
        </is>
      </c>
      <c r="C475" s="32" t="inlineStr">
        <is>
          <t>AppScriptObject</t>
        </is>
      </c>
      <c r="D475" s="32" t="inlineStr"/>
      <c r="E475" s="34" t="n">
        <v>589</v>
      </c>
      <c r="F475" s="32" t="inlineStr">
        <is>
          <t>2016-03-06T15:53:12</t>
        </is>
      </c>
    </row>
    <row r="476">
      <c r="A476" s="37" t="inlineStr">
        <is>
          <t>TryConfigColorAndAgrField</t>
        </is>
      </c>
      <c r="B476" s="37" t="inlineStr">
        <is>
          <t>qvapp_allproperties</t>
        </is>
      </c>
      <c r="C476" s="37" t="inlineStr">
        <is>
          <t>AllProperties</t>
        </is>
      </c>
      <c r="D476" s="37" t="inlineStr"/>
      <c r="E476" s="39" t="n">
        <v>125407</v>
      </c>
      <c r="F476" s="37" t="inlineStr">
        <is>
          <t>2016-03-06T16:14:37</t>
        </is>
      </c>
    </row>
    <row r="477">
      <c r="A477" s="32" t="inlineStr">
        <is>
          <t>TryConfigColorAndAgrField</t>
        </is>
      </c>
      <c r="B477" s="32" t="inlineStr">
        <is>
          <t>qvapp_approperties</t>
        </is>
      </c>
      <c r="C477" s="32" t="inlineStr">
        <is>
          <t>NxAppProperties</t>
        </is>
      </c>
      <c r="D477" s="32" t="inlineStr"/>
      <c r="E477" s="34" t="n">
        <v>177</v>
      </c>
      <c r="F477" s="32" t="inlineStr">
        <is>
          <t>2016-03-06T15:53:12</t>
        </is>
      </c>
    </row>
    <row r="478">
      <c r="A478" s="37" t="inlineStr">
        <is>
          <t>TryConfigColorAndAgrField</t>
        </is>
      </c>
      <c r="B478" s="37" t="inlineStr">
        <is>
          <t>qvapp_derivedfieldlist</t>
        </is>
      </c>
      <c r="C478" s="37" t="inlineStr">
        <is>
          <t>GenericDerivedFieldEntryList</t>
        </is>
      </c>
      <c r="D478" s="37" t="inlineStr"/>
      <c r="E478" s="39" t="n">
        <v>58</v>
      </c>
      <c r="F478" s="37" t="inlineStr">
        <is>
          <t>2016-03-06T15:29:08</t>
        </is>
      </c>
    </row>
    <row r="479">
      <c r="A479" s="32" t="inlineStr">
        <is>
          <t>TryConfigColorAndAgrField</t>
        </is>
      </c>
      <c r="B479" s="32" t="inlineStr">
        <is>
          <t>qvapp_deriveddefinitionlist</t>
        </is>
      </c>
      <c r="C479" s="32" t="inlineStr">
        <is>
          <t>GenericDerivedDefinitionEntryList</t>
        </is>
      </c>
      <c r="D479" s="32" t="inlineStr"/>
      <c r="E479" s="34" t="n">
        <v>58</v>
      </c>
      <c r="F479" s="32" t="inlineStr">
        <is>
          <t>2016-03-06T15:29:08</t>
        </is>
      </c>
    </row>
    <row r="480">
      <c r="A480" s="37" t="inlineStr">
        <is>
          <t>TryConfigColorAndAgrField</t>
        </is>
      </c>
      <c r="B480" s="37" t="inlineStr">
        <is>
          <t>qvapp_data</t>
        </is>
      </c>
      <c r="C480" s="37" t="inlineStr">
        <is>
          <t>qvapp_cheader</t>
        </is>
      </c>
      <c r="D480" s="37" t="inlineStr"/>
      <c r="E480" s="39" t="n">
        <v>1772</v>
      </c>
      <c r="F480" s="37" t="inlineStr">
        <is>
          <t>2016-03-06T16:09:50</t>
        </is>
      </c>
    </row>
    <row r="481">
      <c r="A481" s="32" t="inlineStr">
        <is>
          <t>TryConfigColorAndAgrField</t>
        </is>
      </c>
      <c r="B481" s="32" t="inlineStr">
        <is>
          <t>qvapp_qaccess</t>
        </is>
      </c>
      <c r="C481" s="32" t="inlineStr">
        <is>
          <t>qvapp_data</t>
        </is>
      </c>
      <c r="D481" s="32" t="inlineStr"/>
      <c r="E481" s="34" t="n">
        <v>27</v>
      </c>
      <c r="F481" s="32" t="inlineStr">
        <is>
          <t>2016-03-06T16:14:37</t>
        </is>
      </c>
    </row>
    <row r="482">
      <c r="A482" s="37" t="inlineStr">
        <is>
          <t>TryConfigColorAndAgrField</t>
        </is>
      </c>
      <c r="B482" s="37" t="inlineStr">
        <is>
          <t>yJByFm</t>
        </is>
      </c>
      <c r="C482" s="37" t="inlineStr">
        <is>
          <t>GenericAppObjectEntry</t>
        </is>
      </c>
      <c r="D482" s="37" t="inlineStr"/>
      <c r="E482" s="39" t="n">
        <v>1709</v>
      </c>
      <c r="F482" s="37" t="inlineStr">
        <is>
          <t>2016-03-06T16:12:26</t>
        </is>
      </c>
    </row>
    <row r="483">
      <c r="A483" s="32" t="inlineStr">
        <is>
          <t>TryExtensions</t>
        </is>
      </c>
      <c r="B483" s="32" t="inlineStr">
        <is>
          <t>qvapp_header</t>
        </is>
      </c>
      <c r="C483" s="32" t="inlineStr">
        <is>
          <t>qvapp_header</t>
        </is>
      </c>
      <c r="D483" s="32" t="inlineStr"/>
      <c r="E483" s="34" t="n">
        <v>193</v>
      </c>
      <c r="F483" s="32" t="inlineStr">
        <is>
          <t>2015-11-29T21:55:13</t>
        </is>
      </c>
    </row>
    <row r="484">
      <c r="A484" s="37" t="inlineStr">
        <is>
          <t>TryExtensions</t>
        </is>
      </c>
      <c r="B484" s="37" t="inlineStr">
        <is>
          <t>data/field_5</t>
        </is>
      </c>
      <c r="C484" s="37" t="inlineStr">
        <is>
          <t>qvapp_cfield</t>
        </is>
      </c>
      <c r="D484" s="37" t="inlineStr"/>
      <c r="E484" s="39" t="n">
        <v>185</v>
      </c>
      <c r="F484" s="37" t="inlineStr">
        <is>
          <t>2015-11-29T17:17:23</t>
        </is>
      </c>
    </row>
    <row r="485">
      <c r="A485" s="32" t="inlineStr">
        <is>
          <t>TryExtensions</t>
        </is>
      </c>
      <c r="B485" s="32" t="inlineStr">
        <is>
          <t>data/field_7</t>
        </is>
      </c>
      <c r="C485" s="32" t="inlineStr">
        <is>
          <t>qvapp_cfield</t>
        </is>
      </c>
      <c r="D485" s="32" t="inlineStr"/>
      <c r="E485" s="34" t="n">
        <v>186</v>
      </c>
      <c r="F485" s="32" t="inlineStr">
        <is>
          <t>2015-11-29T21:54:00</t>
        </is>
      </c>
    </row>
    <row r="486">
      <c r="A486" s="37" t="inlineStr">
        <is>
          <t>TryExtensions</t>
        </is>
      </c>
      <c r="B486" s="37" t="inlineStr">
        <is>
          <t>data/table_0</t>
        </is>
      </c>
      <c r="C486" s="37" t="inlineStr">
        <is>
          <t>qvapp_ctable</t>
        </is>
      </c>
      <c r="D486" s="37" t="inlineStr"/>
      <c r="E486" s="39" t="n">
        <v>186</v>
      </c>
      <c r="F486" s="37" t="inlineStr">
        <is>
          <t>2015-11-29T21:54:00</t>
        </is>
      </c>
    </row>
    <row r="487">
      <c r="A487" s="32" t="inlineStr">
        <is>
          <t>TryExtensions</t>
        </is>
      </c>
      <c r="B487" s="32" t="inlineStr">
        <is>
          <t>data/table_1</t>
        </is>
      </c>
      <c r="C487" s="32" t="inlineStr">
        <is>
          <t>qvapp_ctable</t>
        </is>
      </c>
      <c r="D487" s="32" t="inlineStr"/>
      <c r="E487" s="34" t="n">
        <v>598</v>
      </c>
      <c r="F487" s="32" t="inlineStr">
        <is>
          <t>2015-11-29T21:54:00</t>
        </is>
      </c>
    </row>
    <row r="488">
      <c r="A488" s="37" t="inlineStr">
        <is>
          <t>TryExtensions</t>
        </is>
      </c>
      <c r="B488" s="37" t="inlineStr">
        <is>
          <t>data/table_2</t>
        </is>
      </c>
      <c r="C488" s="37" t="inlineStr">
        <is>
          <t>qvapp_ctable</t>
        </is>
      </c>
      <c r="D488" s="37" t="inlineStr"/>
      <c r="E488" s="39" t="n">
        <v>11149</v>
      </c>
      <c r="F488" s="37" t="inlineStr">
        <is>
          <t>2015-11-29T21:54:00</t>
        </is>
      </c>
    </row>
    <row r="489">
      <c r="A489" s="32" t="inlineStr">
        <is>
          <t>TryExtensions</t>
        </is>
      </c>
      <c r="B489" s="32" t="inlineStr">
        <is>
          <t>data/table_3</t>
        </is>
      </c>
      <c r="C489" s="32" t="inlineStr">
        <is>
          <t>qvapp_ctable</t>
        </is>
      </c>
      <c r="D489" s="32" t="inlineStr"/>
      <c r="E489" s="34" t="n">
        <v>244</v>
      </c>
      <c r="F489" s="32" t="inlineStr">
        <is>
          <t>2015-11-29T21:54:00</t>
        </is>
      </c>
    </row>
    <row r="490">
      <c r="A490" s="37" t="inlineStr">
        <is>
          <t>TryExtensions</t>
        </is>
      </c>
      <c r="B490" s="37" t="inlineStr">
        <is>
          <t>data/table_4</t>
        </is>
      </c>
      <c r="C490" s="37" t="inlineStr">
        <is>
          <t>qvapp_ctable</t>
        </is>
      </c>
      <c r="D490" s="37" t="inlineStr"/>
      <c r="E490" s="39" t="n">
        <v>206</v>
      </c>
      <c r="F490" s="37" t="inlineStr">
        <is>
          <t>2015-11-29T21:54:00</t>
        </is>
      </c>
    </row>
    <row r="491">
      <c r="A491" s="32" t="inlineStr">
        <is>
          <t>TryExtensions</t>
        </is>
      </c>
      <c r="B491" s="32" t="inlineStr">
        <is>
          <t>data/field_1</t>
        </is>
      </c>
      <c r="C491" s="32" t="inlineStr">
        <is>
          <t>qvapp_cfield</t>
        </is>
      </c>
      <c r="D491" s="32" t="inlineStr"/>
      <c r="E491" s="34" t="n">
        <v>339</v>
      </c>
      <c r="F491" s="32" t="inlineStr">
        <is>
          <t>2015-11-29T21:54:00</t>
        </is>
      </c>
    </row>
    <row r="492">
      <c r="A492" s="37" t="inlineStr">
        <is>
          <t>TryExtensions</t>
        </is>
      </c>
      <c r="B492" s="37" t="inlineStr">
        <is>
          <t>data/field_3</t>
        </is>
      </c>
      <c r="C492" s="37" t="inlineStr">
        <is>
          <t>qvapp_cfield</t>
        </is>
      </c>
      <c r="D492" s="37" t="inlineStr"/>
      <c r="E492" s="39" t="n">
        <v>195</v>
      </c>
      <c r="F492" s="37" t="inlineStr">
        <is>
          <t>2015-11-29T21:54:00</t>
        </is>
      </c>
    </row>
    <row r="493">
      <c r="A493" s="32" t="inlineStr">
        <is>
          <t>TryExtensions</t>
        </is>
      </c>
      <c r="B493" s="32" t="inlineStr">
        <is>
          <t>data/field_8</t>
        </is>
      </c>
      <c r="C493" s="32" t="inlineStr">
        <is>
          <t>qvapp_cfield</t>
        </is>
      </c>
      <c r="D493" s="32" t="inlineStr"/>
      <c r="E493" s="34" t="n">
        <v>578</v>
      </c>
      <c r="F493" s="32" t="inlineStr">
        <is>
          <t>2015-11-29T21:54:00</t>
        </is>
      </c>
    </row>
    <row r="494">
      <c r="A494" s="37" t="inlineStr">
        <is>
          <t>TryExtensions</t>
        </is>
      </c>
      <c r="B494" s="37" t="inlineStr">
        <is>
          <t>data/field_0</t>
        </is>
      </c>
      <c r="C494" s="37" t="inlineStr">
        <is>
          <t>qvapp_cfield</t>
        </is>
      </c>
      <c r="D494" s="37" t="inlineStr"/>
      <c r="E494" s="39" t="n">
        <v>279</v>
      </c>
      <c r="F494" s="37" t="inlineStr">
        <is>
          <t>2015-11-29T21:54:00</t>
        </is>
      </c>
    </row>
    <row r="495">
      <c r="A495" s="32" t="inlineStr">
        <is>
          <t>TryExtensions</t>
        </is>
      </c>
      <c r="B495" s="32" t="inlineStr">
        <is>
          <t>data/field_2</t>
        </is>
      </c>
      <c r="C495" s="32" t="inlineStr">
        <is>
          <t>qvapp_cfield</t>
        </is>
      </c>
      <c r="D495" s="32" t="inlineStr"/>
      <c r="E495" s="34" t="n">
        <v>211</v>
      </c>
      <c r="F495" s="32" t="inlineStr">
        <is>
          <t>2015-11-29T21:54:00</t>
        </is>
      </c>
    </row>
    <row r="496">
      <c r="A496" s="37" t="inlineStr">
        <is>
          <t>TryExtensions</t>
        </is>
      </c>
      <c r="B496" s="37" t="inlineStr">
        <is>
          <t>data/field_4</t>
        </is>
      </c>
      <c r="C496" s="37" t="inlineStr">
        <is>
          <t>qvapp_cfield</t>
        </is>
      </c>
      <c r="D496" s="37" t="inlineStr"/>
      <c r="E496" s="39" t="n">
        <v>217</v>
      </c>
      <c r="F496" s="37" t="inlineStr">
        <is>
          <t>2015-11-29T21:54:00</t>
        </is>
      </c>
    </row>
    <row r="497">
      <c r="A497" s="32" t="inlineStr">
        <is>
          <t>TryExtensions</t>
        </is>
      </c>
      <c r="B497" s="32" t="inlineStr">
        <is>
          <t>data/field_6</t>
        </is>
      </c>
      <c r="C497" s="32" t="inlineStr">
        <is>
          <t>qvapp_cfield</t>
        </is>
      </c>
      <c r="D497" s="32" t="inlineStr"/>
      <c r="E497" s="34" t="n">
        <v>235</v>
      </c>
      <c r="F497" s="32" t="inlineStr">
        <is>
          <t>2015-11-29T21:54:00</t>
        </is>
      </c>
    </row>
    <row r="498">
      <c r="A498" s="37" t="inlineStr">
        <is>
          <t>TryExtensions</t>
        </is>
      </c>
      <c r="B498" s="37" t="inlineStr">
        <is>
          <t>data/field_9</t>
        </is>
      </c>
      <c r="C498" s="37" t="inlineStr">
        <is>
          <t>qvapp_cfield</t>
        </is>
      </c>
      <c r="D498" s="37" t="inlineStr"/>
      <c r="E498" s="39" t="n">
        <v>474</v>
      </c>
      <c r="F498" s="37" t="inlineStr">
        <is>
          <t>2015-11-29T21:54:00</t>
        </is>
      </c>
    </row>
    <row r="499">
      <c r="A499" s="32" t="inlineStr">
        <is>
          <t>TryExtensions</t>
        </is>
      </c>
      <c r="B499" s="32" t="inlineStr">
        <is>
          <t>data/field_10</t>
        </is>
      </c>
      <c r="C499" s="32" t="inlineStr">
        <is>
          <t>qvapp_cfield</t>
        </is>
      </c>
      <c r="D499" s="32" t="inlineStr"/>
      <c r="E499" s="34" t="n">
        <v>186</v>
      </c>
      <c r="F499" s="32" t="inlineStr">
        <is>
          <t>2015-11-29T21:54:00</t>
        </is>
      </c>
    </row>
    <row r="500">
      <c r="A500" s="37" t="inlineStr">
        <is>
          <t>TryExtensions</t>
        </is>
      </c>
      <c r="B500" s="37" t="inlineStr">
        <is>
          <t>data/field_11</t>
        </is>
      </c>
      <c r="C500" s="37" t="inlineStr">
        <is>
          <t>qvapp_cfield</t>
        </is>
      </c>
      <c r="D500" s="37" t="inlineStr"/>
      <c r="E500" s="39" t="n">
        <v>186</v>
      </c>
      <c r="F500" s="37" t="inlineStr">
        <is>
          <t>2015-11-29T21:54:00</t>
        </is>
      </c>
    </row>
    <row r="501">
      <c r="A501" s="32" t="inlineStr">
        <is>
          <t>TryExtensions</t>
        </is>
      </c>
      <c r="B501" s="32" t="inlineStr">
        <is>
          <t>data/field_12</t>
        </is>
      </c>
      <c r="C501" s="32" t="inlineStr">
        <is>
          <t>qvapp_cfield</t>
        </is>
      </c>
      <c r="D501" s="32" t="inlineStr"/>
      <c r="E501" s="34" t="n">
        <v>192</v>
      </c>
      <c r="F501" s="32" t="inlineStr">
        <is>
          <t>2015-11-29T21:54:00</t>
        </is>
      </c>
    </row>
    <row r="502">
      <c r="A502" s="37" t="inlineStr">
        <is>
          <t>TryExtensions</t>
        </is>
      </c>
      <c r="B502" s="37" t="inlineStr">
        <is>
          <t>data/field_13</t>
        </is>
      </c>
      <c r="C502" s="37" t="inlineStr">
        <is>
          <t>qvapp_cfield</t>
        </is>
      </c>
      <c r="D502" s="37" t="inlineStr"/>
      <c r="E502" s="39" t="n">
        <v>201</v>
      </c>
      <c r="F502" s="37" t="inlineStr">
        <is>
          <t>2015-11-29T21:54:00</t>
        </is>
      </c>
    </row>
    <row r="503">
      <c r="A503" s="32" t="inlineStr">
        <is>
          <t>TryExtensions</t>
        </is>
      </c>
      <c r="B503" s="32" t="inlineStr">
        <is>
          <t>data/field_14</t>
        </is>
      </c>
      <c r="C503" s="32" t="inlineStr">
        <is>
          <t>qvapp_cfield</t>
        </is>
      </c>
      <c r="D503" s="32" t="inlineStr"/>
      <c r="E503" s="34" t="n">
        <v>192</v>
      </c>
      <c r="F503" s="32" t="inlineStr">
        <is>
          <t>2015-11-29T21:54:00</t>
        </is>
      </c>
    </row>
    <row r="504">
      <c r="A504" s="37" t="inlineStr">
        <is>
          <t>TryExtensions</t>
        </is>
      </c>
      <c r="B504" s="37" t="inlineStr">
        <is>
          <t>data/field_15</t>
        </is>
      </c>
      <c r="C504" s="37" t="inlineStr">
        <is>
          <t>qvapp_cfield</t>
        </is>
      </c>
      <c r="D504" s="37" t="inlineStr"/>
      <c r="E504" s="39" t="n">
        <v>1263</v>
      </c>
      <c r="F504" s="37" t="inlineStr">
        <is>
          <t>2015-11-29T21:54:00</t>
        </is>
      </c>
    </row>
    <row r="505">
      <c r="A505" s="32" t="inlineStr">
        <is>
          <t>TryExtensions</t>
        </is>
      </c>
      <c r="B505" s="32" t="inlineStr">
        <is>
          <t>data/field_16</t>
        </is>
      </c>
      <c r="C505" s="32" t="inlineStr">
        <is>
          <t>qvapp_cfield</t>
        </is>
      </c>
      <c r="D505" s="32" t="inlineStr"/>
      <c r="E505" s="34" t="n">
        <v>219</v>
      </c>
      <c r="F505" s="32" t="inlineStr">
        <is>
          <t>2015-11-29T21:54:00</t>
        </is>
      </c>
    </row>
    <row r="506">
      <c r="A506" s="37" t="inlineStr">
        <is>
          <t>TryExtensions</t>
        </is>
      </c>
      <c r="B506" s="37" t="inlineStr">
        <is>
          <t>data/field_17</t>
        </is>
      </c>
      <c r="C506" s="37" t="inlineStr">
        <is>
          <t>qvapp_cfield</t>
        </is>
      </c>
      <c r="D506" s="37" t="inlineStr"/>
      <c r="E506" s="39" t="n">
        <v>12280</v>
      </c>
      <c r="F506" s="37" t="inlineStr">
        <is>
          <t>2015-11-29T21:54:00</t>
        </is>
      </c>
    </row>
    <row r="507">
      <c r="A507" s="32" t="inlineStr">
        <is>
          <t>TryExtensions</t>
        </is>
      </c>
      <c r="B507" s="32" t="inlineStr">
        <is>
          <t>data/field_18</t>
        </is>
      </c>
      <c r="C507" s="32" t="inlineStr">
        <is>
          <t>qvapp_cfield</t>
        </is>
      </c>
      <c r="D507" s="32" t="inlineStr"/>
      <c r="E507" s="34" t="n">
        <v>230</v>
      </c>
      <c r="F507" s="32" t="inlineStr">
        <is>
          <t>2015-11-29T21:54:00</t>
        </is>
      </c>
    </row>
    <row r="508">
      <c r="A508" s="37" t="inlineStr">
        <is>
          <t>TryExtensions</t>
        </is>
      </c>
      <c r="B508" s="37" t="inlineStr">
        <is>
          <t>data/field_19</t>
        </is>
      </c>
      <c r="C508" s="37" t="inlineStr">
        <is>
          <t>qvapp_cfield</t>
        </is>
      </c>
      <c r="D508" s="37" t="inlineStr"/>
      <c r="E508" s="39" t="n">
        <v>194</v>
      </c>
      <c r="F508" s="37" t="inlineStr">
        <is>
          <t>2015-11-29T21:54:00</t>
        </is>
      </c>
    </row>
    <row r="509">
      <c r="A509" s="32" t="inlineStr">
        <is>
          <t>TryExtensions</t>
        </is>
      </c>
      <c r="B509" s="32" t="inlineStr">
        <is>
          <t>data/field_20</t>
        </is>
      </c>
      <c r="C509" s="32" t="inlineStr">
        <is>
          <t>qvapp_cfield</t>
        </is>
      </c>
      <c r="D509" s="32" t="inlineStr"/>
      <c r="E509" s="34" t="n">
        <v>229</v>
      </c>
      <c r="F509" s="32" t="inlineStr">
        <is>
          <t>2015-11-29T21:54:00</t>
        </is>
      </c>
    </row>
    <row r="510">
      <c r="A510" s="37" t="inlineStr">
        <is>
          <t>TryExtensions</t>
        </is>
      </c>
      <c r="B510" s="37" t="inlineStr">
        <is>
          <t>data/table_5</t>
        </is>
      </c>
      <c r="C510" s="37" t="inlineStr">
        <is>
          <t>qvapp_ctable</t>
        </is>
      </c>
      <c r="D510" s="37" t="inlineStr"/>
      <c r="E510" s="39" t="n">
        <v>184</v>
      </c>
      <c r="F510" s="37" t="inlineStr">
        <is>
          <t>2015-11-29T21:54:00</t>
        </is>
      </c>
    </row>
    <row r="511">
      <c r="A511" s="32" t="inlineStr">
        <is>
          <t>TryExtensions</t>
        </is>
      </c>
      <c r="B511" s="32" t="inlineStr">
        <is>
          <t>data/table_6</t>
        </is>
      </c>
      <c r="C511" s="32" t="inlineStr">
        <is>
          <t>qvapp_ctable</t>
        </is>
      </c>
      <c r="D511" s="32" t="inlineStr"/>
      <c r="E511" s="34" t="n">
        <v>127</v>
      </c>
      <c r="F511" s="32" t="inlineStr">
        <is>
          <t>2015-11-29T21:54:00</t>
        </is>
      </c>
    </row>
    <row r="512">
      <c r="A512" s="37" t="inlineStr">
        <is>
          <t>TryExtensions</t>
        </is>
      </c>
      <c r="B512" s="37" t="inlineStr">
        <is>
          <t>qvapp_variablelist</t>
        </is>
      </c>
      <c r="C512" s="37" t="inlineStr">
        <is>
          <t>GenericVariableEntryList</t>
        </is>
      </c>
      <c r="D512" s="37" t="inlineStr"/>
      <c r="E512" s="39" t="n">
        <v>1272</v>
      </c>
      <c r="F512" s="37" t="inlineStr">
        <is>
          <t>2015-11-29T17:14:15</t>
        </is>
      </c>
    </row>
    <row r="513">
      <c r="A513" s="32" t="inlineStr">
        <is>
          <t>TryExtensions</t>
        </is>
      </c>
      <c r="B513" s="32" t="inlineStr">
        <is>
          <t>user_variablelist</t>
        </is>
      </c>
      <c r="C513" s="32" t="inlineStr">
        <is>
          <t>GenericVariableEntryList</t>
        </is>
      </c>
      <c r="D513" s="32" t="inlineStr"/>
      <c r="E513" s="34" t="n">
        <v>81</v>
      </c>
      <c r="F513" s="32" t="inlineStr">
        <is>
          <t>2015-11-29T17:13:49</t>
        </is>
      </c>
    </row>
    <row r="514">
      <c r="A514" s="37" t="inlineStr">
        <is>
          <t>TryExtensions</t>
        </is>
      </c>
      <c r="B514" s="37" t="inlineStr">
        <is>
          <t>qvapp_appscript</t>
        </is>
      </c>
      <c r="C514" s="37" t="inlineStr">
        <is>
          <t>AppScriptObject</t>
        </is>
      </c>
      <c r="D514" s="37" t="inlineStr"/>
      <c r="E514" s="39" t="n">
        <v>922</v>
      </c>
      <c r="F514" s="37" t="inlineStr">
        <is>
          <t>2015-11-29T21:54:00</t>
        </is>
      </c>
    </row>
    <row r="515">
      <c r="A515" s="32" t="inlineStr">
        <is>
          <t>TryExtensions</t>
        </is>
      </c>
      <c r="B515" s="32" t="inlineStr">
        <is>
          <t>qvapp_allproperties</t>
        </is>
      </c>
      <c r="C515" s="32" t="inlineStr">
        <is>
          <t>AllProperties</t>
        </is>
      </c>
      <c r="D515" s="32" t="inlineStr"/>
      <c r="E515" s="34" t="n">
        <v>125748</v>
      </c>
      <c r="F515" s="32" t="inlineStr">
        <is>
          <t>2015-11-29T21:55:13</t>
        </is>
      </c>
    </row>
    <row r="516">
      <c r="A516" s="37" t="inlineStr">
        <is>
          <t>TryExtensions</t>
        </is>
      </c>
      <c r="B516" s="37" t="inlineStr">
        <is>
          <t>qvapp_approperties</t>
        </is>
      </c>
      <c r="C516" s="37" t="inlineStr">
        <is>
          <t>NxAppProperties</t>
        </is>
      </c>
      <c r="D516" s="37" t="inlineStr"/>
      <c r="E516" s="39" t="n">
        <v>176</v>
      </c>
      <c r="F516" s="37" t="inlineStr">
        <is>
          <t>2015-11-29T21:54:00</t>
        </is>
      </c>
    </row>
    <row r="517">
      <c r="A517" s="32" t="inlineStr">
        <is>
          <t>TryExtensions</t>
        </is>
      </c>
      <c r="B517" s="32" t="inlineStr">
        <is>
          <t>qvapp_derivedfieldlist</t>
        </is>
      </c>
      <c r="C517" s="32" t="inlineStr">
        <is>
          <t>GenericDerivedFieldEntryList</t>
        </is>
      </c>
      <c r="D517" s="32" t="inlineStr"/>
      <c r="E517" s="34" t="n">
        <v>58</v>
      </c>
      <c r="F517" s="32" t="inlineStr">
        <is>
          <t>2015-11-29T17:13:49</t>
        </is>
      </c>
    </row>
    <row r="518">
      <c r="A518" s="37" t="inlineStr">
        <is>
          <t>TryExtensions</t>
        </is>
      </c>
      <c r="B518" s="37" t="inlineStr">
        <is>
          <t>qvapp_deriveddefinitionlist</t>
        </is>
      </c>
      <c r="C518" s="37" t="inlineStr">
        <is>
          <t>GenericDerivedDefinitionEntryList</t>
        </is>
      </c>
      <c r="D518" s="37" t="inlineStr"/>
      <c r="E518" s="39" t="n">
        <v>58</v>
      </c>
      <c r="F518" s="37" t="inlineStr">
        <is>
          <t>2015-11-29T17:13:49</t>
        </is>
      </c>
    </row>
    <row r="519">
      <c r="A519" s="32" t="inlineStr">
        <is>
          <t>TryExtensions</t>
        </is>
      </c>
      <c r="B519" s="32" t="inlineStr">
        <is>
          <t>qvapp_data</t>
        </is>
      </c>
      <c r="C519" s="32" t="inlineStr">
        <is>
          <t>qvapp_cheader</t>
        </is>
      </c>
      <c r="D519" s="32" t="inlineStr"/>
      <c r="E519" s="34" t="n">
        <v>2206</v>
      </c>
      <c r="F519" s="32" t="inlineStr">
        <is>
          <t>2015-11-29T21:54:00</t>
        </is>
      </c>
    </row>
    <row r="520">
      <c r="A520" s="37" t="inlineStr">
        <is>
          <t>TryExtensions</t>
        </is>
      </c>
      <c r="B520" s="37" t="inlineStr">
        <is>
          <t>qvapp_qaccess</t>
        </is>
      </c>
      <c r="C520" s="37" t="inlineStr">
        <is>
          <t>qvapp_data</t>
        </is>
      </c>
      <c r="D520" s="37" t="inlineStr"/>
      <c r="E520" s="39" t="n">
        <v>27</v>
      </c>
      <c r="F520" s="37" t="inlineStr">
        <is>
          <t>2015-11-29T21:55:13</t>
        </is>
      </c>
    </row>
    <row r="521">
      <c r="A521" s="32" t="inlineStr">
        <is>
          <t>TryExtensions</t>
        </is>
      </c>
      <c r="B521" s="32" t="inlineStr">
        <is>
          <t>bEBzp</t>
        </is>
      </c>
      <c r="C521" s="32" t="inlineStr">
        <is>
          <t>GenericAppObjectEntry</t>
        </is>
      </c>
      <c r="D521" s="32" t="inlineStr"/>
      <c r="E521" s="34" t="n">
        <v>340</v>
      </c>
      <c r="F521" s="32" t="inlineStr">
        <is>
          <t>2015-11-29T21:19:16</t>
        </is>
      </c>
    </row>
    <row r="522">
      <c r="A522" s="37" t="inlineStr">
        <is>
          <t>Tutorial creazione nuova app</t>
        </is>
      </c>
      <c r="B522" s="37" t="inlineStr">
        <is>
          <t>qvapp_header</t>
        </is>
      </c>
      <c r="C522" s="37" t="inlineStr">
        <is>
          <t>qvapp_header</t>
        </is>
      </c>
      <c r="D522" s="37" t="inlineStr"/>
      <c r="E522" s="39" t="n">
        <v>193</v>
      </c>
      <c r="F522" s="37" t="inlineStr">
        <is>
          <t>2016-01-31T21:56:47</t>
        </is>
      </c>
    </row>
    <row r="523">
      <c r="A523" s="32" t="inlineStr">
        <is>
          <t>Tutorial creazione nuova app</t>
        </is>
      </c>
      <c r="B523" s="32" t="inlineStr">
        <is>
          <t>data/field_21</t>
        </is>
      </c>
      <c r="C523" s="32" t="inlineStr">
        <is>
          <t>qvapp_cfield</t>
        </is>
      </c>
      <c r="D523" s="32" t="inlineStr"/>
      <c r="E523" s="34" t="n">
        <v>313</v>
      </c>
      <c r="F523" s="32" t="inlineStr">
        <is>
          <t>2016-01-31T21:56:49</t>
        </is>
      </c>
    </row>
    <row r="524">
      <c r="A524" s="37" t="inlineStr">
        <is>
          <t>Tutorial creazione nuova app</t>
        </is>
      </c>
      <c r="B524" s="37" t="inlineStr">
        <is>
          <t>data/field_22</t>
        </is>
      </c>
      <c r="C524" s="37" t="inlineStr">
        <is>
          <t>qvapp_cfield</t>
        </is>
      </c>
      <c r="D524" s="37" t="inlineStr"/>
      <c r="E524" s="39" t="n">
        <v>196</v>
      </c>
      <c r="F524" s="37" t="inlineStr">
        <is>
          <t>2016-01-31T21:56:49</t>
        </is>
      </c>
    </row>
    <row r="525">
      <c r="A525" s="32" t="inlineStr">
        <is>
          <t>Tutorial creazione nuova app</t>
        </is>
      </c>
      <c r="B525" s="32" t="inlineStr">
        <is>
          <t>data/field_23</t>
        </is>
      </c>
      <c r="C525" s="32" t="inlineStr">
        <is>
          <t>qvapp_cfield</t>
        </is>
      </c>
      <c r="D525" s="32" t="inlineStr"/>
      <c r="E525" s="34" t="n">
        <v>629</v>
      </c>
      <c r="F525" s="32" t="inlineStr">
        <is>
          <t>2016-01-31T21:56:49</t>
        </is>
      </c>
    </row>
    <row r="526">
      <c r="A526" s="37" t="inlineStr">
        <is>
          <t>Tutorial creazione nuova app</t>
        </is>
      </c>
      <c r="B526" s="37" t="inlineStr">
        <is>
          <t>data/field_24</t>
        </is>
      </c>
      <c r="C526" s="37" t="inlineStr">
        <is>
          <t>qvapp_cfield</t>
        </is>
      </c>
      <c r="D526" s="37" t="inlineStr"/>
      <c r="E526" s="39" t="n">
        <v>446</v>
      </c>
      <c r="F526" s="37" t="inlineStr">
        <is>
          <t>2016-01-31T21:56:49</t>
        </is>
      </c>
    </row>
    <row r="527">
      <c r="A527" s="32" t="inlineStr">
        <is>
          <t>Tutorial creazione nuova app</t>
        </is>
      </c>
      <c r="B527" s="32" t="inlineStr">
        <is>
          <t>data/table_1</t>
        </is>
      </c>
      <c r="C527" s="32" t="inlineStr">
        <is>
          <t>qvapp_ctable</t>
        </is>
      </c>
      <c r="D527" s="32" t="inlineStr"/>
      <c r="E527" s="34" t="n">
        <v>2454</v>
      </c>
      <c r="F527" s="32" t="inlineStr">
        <is>
          <t>2016-01-31T21:56:49</t>
        </is>
      </c>
    </row>
    <row r="528">
      <c r="A528" s="37" t="inlineStr">
        <is>
          <t>Tutorial creazione nuova app</t>
        </is>
      </c>
      <c r="B528" s="37" t="inlineStr">
        <is>
          <t>data/table_4</t>
        </is>
      </c>
      <c r="C528" s="37" t="inlineStr">
        <is>
          <t>qvapp_ctable</t>
        </is>
      </c>
      <c r="D528" s="37" t="inlineStr"/>
      <c r="E528" s="39" t="n">
        <v>2609</v>
      </c>
      <c r="F528" s="37" t="inlineStr">
        <is>
          <t>2016-01-31T21:56:49</t>
        </is>
      </c>
    </row>
    <row r="529">
      <c r="A529" s="32" t="inlineStr">
        <is>
          <t>Tutorial creazione nuova app</t>
        </is>
      </c>
      <c r="B529" s="32" t="inlineStr">
        <is>
          <t>data/field_25</t>
        </is>
      </c>
      <c r="C529" s="32" t="inlineStr">
        <is>
          <t>qvapp_cfield</t>
        </is>
      </c>
      <c r="D529" s="32" t="inlineStr"/>
      <c r="E529" s="34" t="n">
        <v>854</v>
      </c>
      <c r="F529" s="32" t="inlineStr">
        <is>
          <t>2016-01-31T21:56:49</t>
        </is>
      </c>
    </row>
    <row r="530">
      <c r="A530" s="37" t="inlineStr">
        <is>
          <t>Tutorial creazione nuova app</t>
        </is>
      </c>
      <c r="B530" s="37" t="inlineStr">
        <is>
          <t>data/field_26</t>
        </is>
      </c>
      <c r="C530" s="37" t="inlineStr">
        <is>
          <t>qvapp_cfield</t>
        </is>
      </c>
      <c r="D530" s="37" t="inlineStr"/>
      <c r="E530" s="39" t="n">
        <v>196</v>
      </c>
      <c r="F530" s="37" t="inlineStr">
        <is>
          <t>2016-01-31T21:56:49</t>
        </is>
      </c>
    </row>
    <row r="531">
      <c r="A531" s="32" t="inlineStr">
        <is>
          <t>Tutorial creazione nuova app</t>
        </is>
      </c>
      <c r="B531" s="32" t="inlineStr">
        <is>
          <t>data/field_27</t>
        </is>
      </c>
      <c r="C531" s="32" t="inlineStr">
        <is>
          <t>qvapp_cfield</t>
        </is>
      </c>
      <c r="D531" s="32" t="inlineStr"/>
      <c r="E531" s="34" t="n">
        <v>238</v>
      </c>
      <c r="F531" s="32" t="inlineStr">
        <is>
          <t>2016-01-31T21:56:49</t>
        </is>
      </c>
    </row>
    <row r="532">
      <c r="A532" s="37" t="inlineStr">
        <is>
          <t>Tutorial creazione nuova app</t>
        </is>
      </c>
      <c r="B532" s="37" t="inlineStr">
        <is>
          <t>data/field_28</t>
        </is>
      </c>
      <c r="C532" s="37" t="inlineStr">
        <is>
          <t>qvapp_cfield</t>
        </is>
      </c>
      <c r="D532" s="37" t="inlineStr"/>
      <c r="E532" s="39" t="n">
        <v>580</v>
      </c>
      <c r="F532" s="37" t="inlineStr">
        <is>
          <t>2016-01-31T21:56:49</t>
        </is>
      </c>
    </row>
    <row r="533">
      <c r="A533" s="32" t="inlineStr">
        <is>
          <t>Tutorial creazione nuova app</t>
        </is>
      </c>
      <c r="B533" s="32" t="inlineStr">
        <is>
          <t>data/field_29</t>
        </is>
      </c>
      <c r="C533" s="32" t="inlineStr">
        <is>
          <t>qvapp_cfield</t>
        </is>
      </c>
      <c r="D533" s="32" t="inlineStr"/>
      <c r="E533" s="34" t="n">
        <v>580</v>
      </c>
      <c r="F533" s="32" t="inlineStr">
        <is>
          <t>2016-01-31T21:56:49</t>
        </is>
      </c>
    </row>
    <row r="534">
      <c r="A534" s="37" t="inlineStr">
        <is>
          <t>Tutorial creazione nuova app</t>
        </is>
      </c>
      <c r="B534" s="37" t="inlineStr">
        <is>
          <t>data/field_30</t>
        </is>
      </c>
      <c r="C534" s="37" t="inlineStr">
        <is>
          <t>qvapp_cfield</t>
        </is>
      </c>
      <c r="D534" s="37" t="inlineStr"/>
      <c r="E534" s="39" t="n">
        <v>1830</v>
      </c>
      <c r="F534" s="37" t="inlineStr">
        <is>
          <t>2016-01-31T21:56:49</t>
        </is>
      </c>
    </row>
    <row r="535">
      <c r="A535" s="32" t="inlineStr">
        <is>
          <t>Tutorial creazione nuova app</t>
        </is>
      </c>
      <c r="B535" s="32" t="inlineStr">
        <is>
          <t>data/table_2</t>
        </is>
      </c>
      <c r="C535" s="32" t="inlineStr">
        <is>
          <t>qvapp_ctable</t>
        </is>
      </c>
      <c r="D535" s="32" t="inlineStr"/>
      <c r="E535" s="34" t="n">
        <v>1036</v>
      </c>
      <c r="F535" s="32" t="inlineStr">
        <is>
          <t>2016-01-31T21:56:49</t>
        </is>
      </c>
    </row>
    <row r="536">
      <c r="A536" s="37" t="inlineStr">
        <is>
          <t>Tutorial creazione nuova app</t>
        </is>
      </c>
      <c r="B536" s="37" t="inlineStr">
        <is>
          <t>data/field_6</t>
        </is>
      </c>
      <c r="C536" s="37" t="inlineStr">
        <is>
          <t>qvapp_cfield</t>
        </is>
      </c>
      <c r="D536" s="37" t="inlineStr"/>
      <c r="E536" s="39" t="n">
        <v>127199</v>
      </c>
      <c r="F536" s="37" t="inlineStr">
        <is>
          <t>2016-01-31T21:56:47</t>
        </is>
      </c>
    </row>
    <row r="537">
      <c r="A537" s="32" t="inlineStr">
        <is>
          <t>Tutorial creazione nuova app</t>
        </is>
      </c>
      <c r="B537" s="32" t="inlineStr">
        <is>
          <t>data/field_31</t>
        </is>
      </c>
      <c r="C537" s="32" t="inlineStr">
        <is>
          <t>qvapp_cfield</t>
        </is>
      </c>
      <c r="D537" s="32" t="inlineStr"/>
      <c r="E537" s="34" t="n">
        <v>1576</v>
      </c>
      <c r="F537" s="32" t="inlineStr">
        <is>
          <t>2016-01-31T21:56:49</t>
        </is>
      </c>
    </row>
    <row r="538">
      <c r="A538" s="37" t="inlineStr">
        <is>
          <t>Tutorial creazione nuova app</t>
        </is>
      </c>
      <c r="B538" s="37" t="inlineStr">
        <is>
          <t>data/field_32</t>
        </is>
      </c>
      <c r="C538" s="37" t="inlineStr">
        <is>
          <t>qvapp_cfield</t>
        </is>
      </c>
      <c r="D538" s="37" t="inlineStr"/>
      <c r="E538" s="39" t="n">
        <v>385</v>
      </c>
      <c r="F538" s="37" t="inlineStr">
        <is>
          <t>2016-01-31T21:56:49</t>
        </is>
      </c>
    </row>
    <row r="539">
      <c r="A539" s="32" t="inlineStr">
        <is>
          <t>Tutorial creazione nuova app</t>
        </is>
      </c>
      <c r="B539" s="32" t="inlineStr">
        <is>
          <t>data/field_33</t>
        </is>
      </c>
      <c r="C539" s="32" t="inlineStr">
        <is>
          <t>qvapp_cfield</t>
        </is>
      </c>
      <c r="D539" s="32" t="inlineStr"/>
      <c r="E539" s="34" t="n">
        <v>263</v>
      </c>
      <c r="F539" s="32" t="inlineStr">
        <is>
          <t>2016-01-31T21:56:49</t>
        </is>
      </c>
    </row>
    <row r="540">
      <c r="A540" s="37" t="inlineStr">
        <is>
          <t>Tutorial creazione nuova app</t>
        </is>
      </c>
      <c r="B540" s="37" t="inlineStr">
        <is>
          <t>data/field_34</t>
        </is>
      </c>
      <c r="C540" s="37" t="inlineStr">
        <is>
          <t>qvapp_cfield</t>
        </is>
      </c>
      <c r="D540" s="37" t="inlineStr"/>
      <c r="E540" s="39" t="n">
        <v>912</v>
      </c>
      <c r="F540" s="37" t="inlineStr">
        <is>
          <t>2016-01-31T21:56:49</t>
        </is>
      </c>
    </row>
    <row r="541">
      <c r="A541" s="32" t="inlineStr">
        <is>
          <t>Tutorial creazione nuova app</t>
        </is>
      </c>
      <c r="B541" s="32" t="inlineStr">
        <is>
          <t>data/field_35</t>
        </is>
      </c>
      <c r="C541" s="32" t="inlineStr">
        <is>
          <t>qvapp_cfield</t>
        </is>
      </c>
      <c r="D541" s="32" t="inlineStr"/>
      <c r="E541" s="34" t="n">
        <v>732</v>
      </c>
      <c r="F541" s="32" t="inlineStr">
        <is>
          <t>2016-01-31T21:56:49</t>
        </is>
      </c>
    </row>
    <row r="542">
      <c r="A542" s="37" t="inlineStr">
        <is>
          <t>Tutorial creazione nuova app</t>
        </is>
      </c>
      <c r="B542" s="37" t="inlineStr">
        <is>
          <t>data/field_36</t>
        </is>
      </c>
      <c r="C542" s="37" t="inlineStr">
        <is>
          <t>qvapp_cfield</t>
        </is>
      </c>
      <c r="D542" s="37" t="inlineStr"/>
      <c r="E542" s="39" t="n">
        <v>249</v>
      </c>
      <c r="F542" s="37" t="inlineStr">
        <is>
          <t>2016-01-31T21:56:49</t>
        </is>
      </c>
    </row>
    <row r="543">
      <c r="A543" s="32" t="inlineStr">
        <is>
          <t>Tutorial creazione nuova app</t>
        </is>
      </c>
      <c r="B543" s="32" t="inlineStr">
        <is>
          <t>data/field_37</t>
        </is>
      </c>
      <c r="C543" s="32" t="inlineStr">
        <is>
          <t>qvapp_cfield</t>
        </is>
      </c>
      <c r="D543" s="32" t="inlineStr"/>
      <c r="E543" s="34" t="n">
        <v>404</v>
      </c>
      <c r="F543" s="32" t="inlineStr">
        <is>
          <t>2016-01-31T21:56:49</t>
        </is>
      </c>
    </row>
    <row r="544">
      <c r="A544" s="37" t="inlineStr">
        <is>
          <t>Tutorial creazione nuova app</t>
        </is>
      </c>
      <c r="B544" s="37" t="inlineStr">
        <is>
          <t>data/table_3</t>
        </is>
      </c>
      <c r="C544" s="37" t="inlineStr">
        <is>
          <t>qvapp_ctable</t>
        </is>
      </c>
      <c r="D544" s="37" t="inlineStr"/>
      <c r="E544" s="39" t="n">
        <v>846</v>
      </c>
      <c r="F544" s="37" t="inlineStr">
        <is>
          <t>2016-01-31T21:56:49</t>
        </is>
      </c>
    </row>
    <row r="545">
      <c r="A545" s="32" t="inlineStr">
        <is>
          <t>Tutorial creazione nuova app</t>
        </is>
      </c>
      <c r="B545" s="32" t="inlineStr">
        <is>
          <t>data/field_2</t>
        </is>
      </c>
      <c r="C545" s="32" t="inlineStr">
        <is>
          <t>qvapp_cfield</t>
        </is>
      </c>
      <c r="D545" s="32" t="inlineStr"/>
      <c r="E545" s="34" t="n">
        <v>230</v>
      </c>
      <c r="F545" s="32" t="inlineStr">
        <is>
          <t>2016-01-31T21:56:47</t>
        </is>
      </c>
    </row>
    <row r="546">
      <c r="A546" s="37" t="inlineStr">
        <is>
          <t>Tutorial creazione nuova app</t>
        </is>
      </c>
      <c r="B546" s="37" t="inlineStr">
        <is>
          <t>data/field_8</t>
        </is>
      </c>
      <c r="C546" s="37" t="inlineStr">
        <is>
          <t>qvapp_cfield</t>
        </is>
      </c>
      <c r="D546" s="37" t="inlineStr"/>
      <c r="E546" s="39" t="n">
        <v>2164</v>
      </c>
      <c r="F546" s="37" t="inlineStr">
        <is>
          <t>2016-01-31T21:56:49</t>
        </is>
      </c>
    </row>
    <row r="547">
      <c r="A547" s="32" t="inlineStr">
        <is>
          <t>Tutorial creazione nuova app</t>
        </is>
      </c>
      <c r="B547" s="32" t="inlineStr">
        <is>
          <t>data/field_38</t>
        </is>
      </c>
      <c r="C547" s="32" t="inlineStr">
        <is>
          <t>qvapp_cfield</t>
        </is>
      </c>
      <c r="D547" s="32" t="inlineStr"/>
      <c r="E547" s="34" t="n">
        <v>550</v>
      </c>
      <c r="F547" s="32" t="inlineStr">
        <is>
          <t>2016-01-31T21:56:49</t>
        </is>
      </c>
    </row>
    <row r="548">
      <c r="A548" s="37" t="inlineStr">
        <is>
          <t>Tutorial creazione nuova app</t>
        </is>
      </c>
      <c r="B548" s="37" t="inlineStr">
        <is>
          <t>data/table_7</t>
        </is>
      </c>
      <c r="C548" s="37" t="inlineStr">
        <is>
          <t>qvapp_ctable</t>
        </is>
      </c>
      <c r="D548" s="37" t="inlineStr"/>
      <c r="E548" s="39" t="n">
        <v>190</v>
      </c>
      <c r="F548" s="37" t="inlineStr">
        <is>
          <t>2016-01-31T21:56:49</t>
        </is>
      </c>
    </row>
    <row r="549">
      <c r="A549" s="32" t="inlineStr">
        <is>
          <t>Tutorial creazione nuova app</t>
        </is>
      </c>
      <c r="B549" s="32" t="inlineStr">
        <is>
          <t>data/field_3</t>
        </is>
      </c>
      <c r="C549" s="32" t="inlineStr">
        <is>
          <t>qvapp_cfield</t>
        </is>
      </c>
      <c r="D549" s="32" t="inlineStr"/>
      <c r="E549" s="34" t="n">
        <v>209</v>
      </c>
      <c r="F549" s="32" t="inlineStr">
        <is>
          <t>2016-01-31T21:56:47</t>
        </is>
      </c>
    </row>
    <row r="550">
      <c r="A550" s="37" t="inlineStr">
        <is>
          <t>Tutorial creazione nuova app</t>
        </is>
      </c>
      <c r="B550" s="37" t="inlineStr">
        <is>
          <t>data/field_39</t>
        </is>
      </c>
      <c r="C550" s="37" t="inlineStr">
        <is>
          <t>qvapp_cfield</t>
        </is>
      </c>
      <c r="D550" s="37" t="inlineStr"/>
      <c r="E550" s="39" t="n">
        <v>5731</v>
      </c>
      <c r="F550" s="37" t="inlineStr">
        <is>
          <t>2016-01-31T21:56:49</t>
        </is>
      </c>
    </row>
    <row r="551">
      <c r="A551" s="32" t="inlineStr">
        <is>
          <t>Tutorial creazione nuova app</t>
        </is>
      </c>
      <c r="B551" s="32" t="inlineStr">
        <is>
          <t>data/field_40</t>
        </is>
      </c>
      <c r="C551" s="32" t="inlineStr">
        <is>
          <t>qvapp_cfield</t>
        </is>
      </c>
      <c r="D551" s="32" t="inlineStr"/>
      <c r="E551" s="34" t="n">
        <v>292</v>
      </c>
      <c r="F551" s="32" t="inlineStr">
        <is>
          <t>2016-01-31T21:56:49</t>
        </is>
      </c>
    </row>
    <row r="552">
      <c r="A552" s="37" t="inlineStr">
        <is>
          <t>Tutorial creazione nuova app</t>
        </is>
      </c>
      <c r="B552" s="37" t="inlineStr">
        <is>
          <t>data/field_41</t>
        </is>
      </c>
      <c r="C552" s="37" t="inlineStr">
        <is>
          <t>qvapp_cfield</t>
        </is>
      </c>
      <c r="D552" s="37" t="inlineStr"/>
      <c r="E552" s="39" t="n">
        <v>186</v>
      </c>
      <c r="F552" s="37" t="inlineStr">
        <is>
          <t>2016-01-31T21:56:49</t>
        </is>
      </c>
    </row>
    <row r="553">
      <c r="A553" s="32" t="inlineStr">
        <is>
          <t>Tutorial creazione nuova app</t>
        </is>
      </c>
      <c r="B553" s="32" t="inlineStr">
        <is>
          <t>data/field_42</t>
        </is>
      </c>
      <c r="C553" s="32" t="inlineStr">
        <is>
          <t>qvapp_cfield</t>
        </is>
      </c>
      <c r="D553" s="32" t="inlineStr"/>
      <c r="E553" s="34" t="n">
        <v>248</v>
      </c>
      <c r="F553" s="32" t="inlineStr">
        <is>
          <t>2016-01-31T21:56:49</t>
        </is>
      </c>
    </row>
    <row r="554">
      <c r="A554" s="37" t="inlineStr">
        <is>
          <t>Tutorial creazione nuova app</t>
        </is>
      </c>
      <c r="B554" s="37" t="inlineStr">
        <is>
          <t>data/field_43</t>
        </is>
      </c>
      <c r="C554" s="37" t="inlineStr">
        <is>
          <t>qvapp_cfield</t>
        </is>
      </c>
      <c r="D554" s="37" t="inlineStr"/>
      <c r="E554" s="39" t="n">
        <v>264</v>
      </c>
      <c r="F554" s="37" t="inlineStr">
        <is>
          <t>2016-01-31T21:56:49</t>
        </is>
      </c>
    </row>
    <row r="555">
      <c r="A555" s="32" t="inlineStr">
        <is>
          <t>Tutorial creazione nuova app</t>
        </is>
      </c>
      <c r="B555" s="32" t="inlineStr">
        <is>
          <t>data/field_44</t>
        </is>
      </c>
      <c r="C555" s="32" t="inlineStr">
        <is>
          <t>qvapp_cfield</t>
        </is>
      </c>
      <c r="D555" s="32" t="inlineStr"/>
      <c r="E555" s="34" t="n">
        <v>197</v>
      </c>
      <c r="F555" s="32" t="inlineStr">
        <is>
          <t>2016-01-31T21:56:49</t>
        </is>
      </c>
    </row>
    <row r="556">
      <c r="A556" s="37" t="inlineStr">
        <is>
          <t>Tutorial creazione nuova app</t>
        </is>
      </c>
      <c r="B556" s="37" t="inlineStr">
        <is>
          <t>data/field_45</t>
        </is>
      </c>
      <c r="C556" s="37" t="inlineStr">
        <is>
          <t>qvapp_cfield</t>
        </is>
      </c>
      <c r="D556" s="37" t="inlineStr"/>
      <c r="E556" s="39" t="n">
        <v>197</v>
      </c>
      <c r="F556" s="37" t="inlineStr">
        <is>
          <t>2016-01-31T21:56:49</t>
        </is>
      </c>
    </row>
    <row r="557">
      <c r="A557" s="32" t="inlineStr">
        <is>
          <t>Tutorial creazione nuova app</t>
        </is>
      </c>
      <c r="B557" s="32" t="inlineStr">
        <is>
          <t>data/field_46</t>
        </is>
      </c>
      <c r="C557" s="32" t="inlineStr">
        <is>
          <t>qvapp_cfield</t>
        </is>
      </c>
      <c r="D557" s="32" t="inlineStr"/>
      <c r="E557" s="34" t="n">
        <v>298</v>
      </c>
      <c r="F557" s="32" t="inlineStr">
        <is>
          <t>2016-01-31T21:56:49</t>
        </is>
      </c>
    </row>
    <row r="558">
      <c r="A558" s="37" t="inlineStr">
        <is>
          <t>Tutorial creazione nuova app</t>
        </is>
      </c>
      <c r="B558" s="37" t="inlineStr">
        <is>
          <t>data/field_47</t>
        </is>
      </c>
      <c r="C558" s="37" t="inlineStr">
        <is>
          <t>qvapp_cfield</t>
        </is>
      </c>
      <c r="D558" s="37" t="inlineStr"/>
      <c r="E558" s="39" t="n">
        <v>194</v>
      </c>
      <c r="F558" s="37" t="inlineStr">
        <is>
          <t>2016-01-31T21:56:49</t>
        </is>
      </c>
    </row>
    <row r="559">
      <c r="A559" s="32" t="inlineStr">
        <is>
          <t>Tutorial creazione nuova app</t>
        </is>
      </c>
      <c r="B559" s="32" t="inlineStr">
        <is>
          <t>data/field_48</t>
        </is>
      </c>
      <c r="C559" s="32" t="inlineStr">
        <is>
          <t>qvapp_cfield</t>
        </is>
      </c>
      <c r="D559" s="32" t="inlineStr"/>
      <c r="E559" s="34" t="n">
        <v>420</v>
      </c>
      <c r="F559" s="32" t="inlineStr">
        <is>
          <t>2016-01-31T21:56:49</t>
        </is>
      </c>
    </row>
    <row r="560">
      <c r="A560" s="37" t="inlineStr">
        <is>
          <t>Tutorial creazione nuova app</t>
        </is>
      </c>
      <c r="B560" s="37" t="inlineStr">
        <is>
          <t>data/table_8</t>
        </is>
      </c>
      <c r="C560" s="37" t="inlineStr">
        <is>
          <t>qvapp_ctable</t>
        </is>
      </c>
      <c r="D560" s="37" t="inlineStr"/>
      <c r="E560" s="39" t="n">
        <v>152</v>
      </c>
      <c r="F560" s="37" t="inlineStr">
        <is>
          <t>2016-01-31T21:56:49</t>
        </is>
      </c>
    </row>
    <row r="561">
      <c r="A561" s="32" t="inlineStr">
        <is>
          <t>Tutorial creazione nuova app</t>
        </is>
      </c>
      <c r="B561" s="32" t="inlineStr">
        <is>
          <t>data/field_1</t>
        </is>
      </c>
      <c r="C561" s="32" t="inlineStr">
        <is>
          <t>qvapp_cfield</t>
        </is>
      </c>
      <c r="D561" s="32" t="inlineStr"/>
      <c r="E561" s="34" t="n">
        <v>415</v>
      </c>
      <c r="F561" s="32" t="inlineStr">
        <is>
          <t>2016-01-31T21:56:47</t>
        </is>
      </c>
    </row>
    <row r="562">
      <c r="A562" s="37" t="inlineStr">
        <is>
          <t>Tutorial creazione nuova app</t>
        </is>
      </c>
      <c r="B562" s="37" t="inlineStr">
        <is>
          <t>data/field_49</t>
        </is>
      </c>
      <c r="C562" s="37" t="inlineStr">
        <is>
          <t>qvapp_cfield</t>
        </is>
      </c>
      <c r="D562" s="37" t="inlineStr"/>
      <c r="E562" s="39" t="n">
        <v>224</v>
      </c>
      <c r="F562" s="37" t="inlineStr">
        <is>
          <t>2016-01-31T21:56:49</t>
        </is>
      </c>
    </row>
    <row r="563">
      <c r="A563" s="32" t="inlineStr">
        <is>
          <t>Tutorial creazione nuova app</t>
        </is>
      </c>
      <c r="B563" s="32" t="inlineStr">
        <is>
          <t>data/field_0</t>
        </is>
      </c>
      <c r="C563" s="32" t="inlineStr">
        <is>
          <t>qvapp_cfield</t>
        </is>
      </c>
      <c r="D563" s="32" t="inlineStr"/>
      <c r="E563" s="34" t="n">
        <v>461</v>
      </c>
      <c r="F563" s="32" t="inlineStr">
        <is>
          <t>2016-01-31T21:56:47</t>
        </is>
      </c>
    </row>
    <row r="564">
      <c r="A564" s="37" t="inlineStr">
        <is>
          <t>Tutorial creazione nuova app</t>
        </is>
      </c>
      <c r="B564" s="37" t="inlineStr">
        <is>
          <t>data/field_4</t>
        </is>
      </c>
      <c r="C564" s="37" t="inlineStr">
        <is>
          <t>qvapp_cfield</t>
        </is>
      </c>
      <c r="D564" s="37" t="inlineStr"/>
      <c r="E564" s="39" t="n">
        <v>237</v>
      </c>
      <c r="F564" s="37" t="inlineStr">
        <is>
          <t>2016-01-31T21:56:47</t>
        </is>
      </c>
    </row>
    <row r="565">
      <c r="A565" s="32" t="inlineStr">
        <is>
          <t>Tutorial creazione nuova app</t>
        </is>
      </c>
      <c r="B565" s="32" t="inlineStr">
        <is>
          <t>data/field_5</t>
        </is>
      </c>
      <c r="C565" s="32" t="inlineStr">
        <is>
          <t>qvapp_cfield</t>
        </is>
      </c>
      <c r="D565" s="32" t="inlineStr"/>
      <c r="E565" s="34" t="n">
        <v>185</v>
      </c>
      <c r="F565" s="32" t="inlineStr">
        <is>
          <t>2016-01-31T21:56:47</t>
        </is>
      </c>
    </row>
    <row r="566">
      <c r="A566" s="37" t="inlineStr">
        <is>
          <t>Tutorial creazione nuova app</t>
        </is>
      </c>
      <c r="B566" s="37" t="inlineStr">
        <is>
          <t>data/field_7</t>
        </is>
      </c>
      <c r="C566" s="37" t="inlineStr">
        <is>
          <t>qvapp_cfield</t>
        </is>
      </c>
      <c r="D566" s="37" t="inlineStr"/>
      <c r="E566" s="39" t="n">
        <v>31152</v>
      </c>
      <c r="F566" s="37" t="inlineStr">
        <is>
          <t>2016-01-31T21:56:49</t>
        </is>
      </c>
    </row>
    <row r="567">
      <c r="A567" s="32" t="inlineStr">
        <is>
          <t>Tutorial creazione nuova app</t>
        </is>
      </c>
      <c r="B567" s="32" t="inlineStr">
        <is>
          <t>data/field_9</t>
        </is>
      </c>
      <c r="C567" s="32" t="inlineStr">
        <is>
          <t>qvapp_cfield</t>
        </is>
      </c>
      <c r="D567" s="32" t="inlineStr"/>
      <c r="E567" s="34" t="n">
        <v>1583</v>
      </c>
      <c r="F567" s="32" t="inlineStr">
        <is>
          <t>2016-01-31T21:56:49</t>
        </is>
      </c>
    </row>
    <row r="568">
      <c r="A568" s="37" t="inlineStr">
        <is>
          <t>Tutorial creazione nuova app</t>
        </is>
      </c>
      <c r="B568" s="37" t="inlineStr">
        <is>
          <t>data/field_10</t>
        </is>
      </c>
      <c r="C568" s="37" t="inlineStr">
        <is>
          <t>qvapp_cfield</t>
        </is>
      </c>
      <c r="D568" s="37" t="inlineStr"/>
      <c r="E568" s="39" t="n">
        <v>82542</v>
      </c>
      <c r="F568" s="37" t="inlineStr">
        <is>
          <t>2016-01-31T21:56:49</t>
        </is>
      </c>
    </row>
    <row r="569">
      <c r="A569" s="32" t="inlineStr">
        <is>
          <t>Tutorial creazione nuova app</t>
        </is>
      </c>
      <c r="B569" s="32" t="inlineStr">
        <is>
          <t>data/field_11</t>
        </is>
      </c>
      <c r="C569" s="32" t="inlineStr">
        <is>
          <t>qvapp_cfield</t>
        </is>
      </c>
      <c r="D569" s="32" t="inlineStr"/>
      <c r="E569" s="34" t="n">
        <v>1045</v>
      </c>
      <c r="F569" s="32" t="inlineStr">
        <is>
          <t>2016-01-31T21:56:49</t>
        </is>
      </c>
    </row>
    <row r="570">
      <c r="A570" s="37" t="inlineStr">
        <is>
          <t>Tutorial creazione nuova app</t>
        </is>
      </c>
      <c r="B570" s="37" t="inlineStr">
        <is>
          <t>data/field_12</t>
        </is>
      </c>
      <c r="C570" s="37" t="inlineStr">
        <is>
          <t>qvapp_cfield</t>
        </is>
      </c>
      <c r="D570" s="37" t="inlineStr"/>
      <c r="E570" s="39" t="n">
        <v>71304</v>
      </c>
      <c r="F570" s="37" t="inlineStr">
        <is>
          <t>2016-01-31T21:56:49</t>
        </is>
      </c>
    </row>
    <row r="571">
      <c r="A571" s="32" t="inlineStr">
        <is>
          <t>Tutorial creazione nuova app</t>
        </is>
      </c>
      <c r="B571" s="32" t="inlineStr">
        <is>
          <t>data/field_13</t>
        </is>
      </c>
      <c r="C571" s="32" t="inlineStr">
        <is>
          <t>qvapp_cfield</t>
        </is>
      </c>
      <c r="D571" s="32" t="inlineStr"/>
      <c r="E571" s="34" t="n">
        <v>5725</v>
      </c>
      <c r="F571" s="32" t="inlineStr">
        <is>
          <t>2016-01-31T21:56:49</t>
        </is>
      </c>
    </row>
    <row r="572">
      <c r="A572" s="37" t="inlineStr">
        <is>
          <t>Tutorial creazione nuova app</t>
        </is>
      </c>
      <c r="B572" s="37" t="inlineStr">
        <is>
          <t>data/field_14</t>
        </is>
      </c>
      <c r="C572" s="37" t="inlineStr">
        <is>
          <t>qvapp_cfield</t>
        </is>
      </c>
      <c r="D572" s="37" t="inlineStr"/>
      <c r="E572" s="39" t="n">
        <v>2151</v>
      </c>
      <c r="F572" s="37" t="inlineStr">
        <is>
          <t>2016-01-31T21:56:49</t>
        </is>
      </c>
    </row>
    <row r="573">
      <c r="A573" s="32" t="inlineStr">
        <is>
          <t>Tutorial creazione nuova app</t>
        </is>
      </c>
      <c r="B573" s="32" t="inlineStr">
        <is>
          <t>data/field_15</t>
        </is>
      </c>
      <c r="C573" s="32" t="inlineStr">
        <is>
          <t>qvapp_cfield</t>
        </is>
      </c>
      <c r="D573" s="32" t="inlineStr"/>
      <c r="E573" s="34" t="n">
        <v>89286</v>
      </c>
      <c r="F573" s="32" t="inlineStr">
        <is>
          <t>2016-01-31T21:56:49</t>
        </is>
      </c>
    </row>
    <row r="574">
      <c r="A574" s="37" t="inlineStr">
        <is>
          <t>Tutorial creazione nuova app</t>
        </is>
      </c>
      <c r="B574" s="37" t="inlineStr">
        <is>
          <t>data/field_16</t>
        </is>
      </c>
      <c r="C574" s="37" t="inlineStr">
        <is>
          <t>qvapp_cfield</t>
        </is>
      </c>
      <c r="D574" s="37" t="inlineStr"/>
      <c r="E574" s="39" t="n">
        <v>65371</v>
      </c>
      <c r="F574" s="37" t="inlineStr">
        <is>
          <t>2016-01-31T21:56:49</t>
        </is>
      </c>
    </row>
    <row r="575">
      <c r="A575" s="32" t="inlineStr">
        <is>
          <t>Tutorial creazione nuova app</t>
        </is>
      </c>
      <c r="B575" s="32" t="inlineStr">
        <is>
          <t>data/field_17</t>
        </is>
      </c>
      <c r="C575" s="32" t="inlineStr">
        <is>
          <t>qvapp_cfield</t>
        </is>
      </c>
      <c r="D575" s="32" t="inlineStr"/>
      <c r="E575" s="34" t="n">
        <v>1395</v>
      </c>
      <c r="F575" s="32" t="inlineStr">
        <is>
          <t>2016-01-31T21:56:49</t>
        </is>
      </c>
    </row>
    <row r="576">
      <c r="A576" s="37" t="inlineStr">
        <is>
          <t>Tutorial creazione nuova app</t>
        </is>
      </c>
      <c r="B576" s="37" t="inlineStr">
        <is>
          <t>data/field_18</t>
        </is>
      </c>
      <c r="C576" s="37" t="inlineStr">
        <is>
          <t>qvapp_cfield</t>
        </is>
      </c>
      <c r="D576" s="37" t="inlineStr"/>
      <c r="E576" s="39" t="n">
        <v>92761</v>
      </c>
      <c r="F576" s="37" t="inlineStr">
        <is>
          <t>2016-01-31T21:56:49</t>
        </is>
      </c>
    </row>
    <row r="577">
      <c r="A577" s="32" t="inlineStr">
        <is>
          <t>Tutorial creazione nuova app</t>
        </is>
      </c>
      <c r="B577" s="32" t="inlineStr">
        <is>
          <t>data/field_19</t>
        </is>
      </c>
      <c r="C577" s="32" t="inlineStr">
        <is>
          <t>qvapp_cfield</t>
        </is>
      </c>
      <c r="D577" s="32" t="inlineStr"/>
      <c r="E577" s="34" t="n">
        <v>988</v>
      </c>
      <c r="F577" s="32" t="inlineStr">
        <is>
          <t>2016-01-31T21:56:49</t>
        </is>
      </c>
    </row>
    <row r="578">
      <c r="A578" s="37" t="inlineStr">
        <is>
          <t>Tutorial creazione nuova app</t>
        </is>
      </c>
      <c r="B578" s="37" t="inlineStr">
        <is>
          <t>data/field_20</t>
        </is>
      </c>
      <c r="C578" s="37" t="inlineStr">
        <is>
          <t>qvapp_cfield</t>
        </is>
      </c>
      <c r="D578" s="37" t="inlineStr"/>
      <c r="E578" s="39" t="n">
        <v>349</v>
      </c>
      <c r="F578" s="37" t="inlineStr">
        <is>
          <t>2016-01-31T21:56:49</t>
        </is>
      </c>
    </row>
    <row r="579">
      <c r="A579" s="32" t="inlineStr">
        <is>
          <t>Tutorial creazione nuova app</t>
        </is>
      </c>
      <c r="B579" s="32" t="inlineStr">
        <is>
          <t>data/table_0</t>
        </is>
      </c>
      <c r="C579" s="32" t="inlineStr">
        <is>
          <t>qvapp_ctable</t>
        </is>
      </c>
      <c r="D579" s="32" t="inlineStr"/>
      <c r="E579" s="34" t="n">
        <v>1639935</v>
      </c>
      <c r="F579" s="32" t="inlineStr">
        <is>
          <t>2016-01-31T21:56:49</t>
        </is>
      </c>
    </row>
    <row r="580">
      <c r="A580" s="37" t="inlineStr">
        <is>
          <t>Tutorial creazione nuova app</t>
        </is>
      </c>
      <c r="B580" s="37" t="inlineStr">
        <is>
          <t>data/table_5</t>
        </is>
      </c>
      <c r="C580" s="37" t="inlineStr">
        <is>
          <t>qvapp_ctable</t>
        </is>
      </c>
      <c r="D580" s="37" t="inlineStr"/>
      <c r="E580" s="39" t="n">
        <v>2602</v>
      </c>
      <c r="F580" s="37" t="inlineStr">
        <is>
          <t>2016-01-31T21:56:49</t>
        </is>
      </c>
    </row>
    <row r="581">
      <c r="A581" s="32" t="inlineStr">
        <is>
          <t>Tutorial creazione nuova app</t>
        </is>
      </c>
      <c r="B581" s="32" t="inlineStr">
        <is>
          <t>data/table_6</t>
        </is>
      </c>
      <c r="C581" s="32" t="inlineStr">
        <is>
          <t>qvapp_ctable</t>
        </is>
      </c>
      <c r="D581" s="32" t="inlineStr"/>
      <c r="E581" s="34" t="n">
        <v>259</v>
      </c>
      <c r="F581" s="32" t="inlineStr">
        <is>
          <t>2016-01-31T21:56:49</t>
        </is>
      </c>
    </row>
    <row r="582">
      <c r="A582" s="37" t="inlineStr">
        <is>
          <t>Tutorial creazione nuova app</t>
        </is>
      </c>
      <c r="B582" s="37" t="inlineStr">
        <is>
          <t>qvapp_variablelist</t>
        </is>
      </c>
      <c r="C582" s="37" t="inlineStr">
        <is>
          <t>GenericVariableEntryList</t>
        </is>
      </c>
      <c r="D582" s="37" t="inlineStr"/>
      <c r="E582" s="39" t="n">
        <v>1363</v>
      </c>
      <c r="F582" s="37" t="inlineStr">
        <is>
          <t>2016-01-31T15:02:28</t>
        </is>
      </c>
    </row>
    <row r="583">
      <c r="A583" s="32" t="inlineStr">
        <is>
          <t>Tutorial creazione nuova app</t>
        </is>
      </c>
      <c r="B583" s="32" t="inlineStr">
        <is>
          <t>user_variablelist</t>
        </is>
      </c>
      <c r="C583" s="32" t="inlineStr">
        <is>
          <t>GenericVariableEntryList</t>
        </is>
      </c>
      <c r="D583" s="32" t="inlineStr"/>
      <c r="E583" s="34" t="n">
        <v>81</v>
      </c>
      <c r="F583" s="32" t="inlineStr">
        <is>
          <t>2016-01-31T13:50:16</t>
        </is>
      </c>
    </row>
    <row r="584">
      <c r="A584" s="37" t="inlineStr">
        <is>
          <t>Tutorial creazione nuova app</t>
        </is>
      </c>
      <c r="B584" s="37" t="inlineStr">
        <is>
          <t>qvapp_appscript</t>
        </is>
      </c>
      <c r="C584" s="37" t="inlineStr">
        <is>
          <t>AppScriptObject</t>
        </is>
      </c>
      <c r="D584" s="37" t="inlineStr"/>
      <c r="E584" s="39" t="n">
        <v>1052</v>
      </c>
      <c r="F584" s="37" t="inlineStr">
        <is>
          <t>2016-01-31T21:56:47</t>
        </is>
      </c>
    </row>
    <row r="585">
      <c r="A585" s="32" t="inlineStr">
        <is>
          <t>Tutorial creazione nuova app</t>
        </is>
      </c>
      <c r="B585" s="32" t="inlineStr">
        <is>
          <t>qvapp_allproperties</t>
        </is>
      </c>
      <c r="C585" s="32" t="inlineStr">
        <is>
          <t>AllProperties</t>
        </is>
      </c>
      <c r="D585" s="32" t="inlineStr"/>
      <c r="E585" s="34" t="n">
        <v>127268</v>
      </c>
      <c r="F585" s="32" t="inlineStr">
        <is>
          <t>2016-01-31T20:16:36</t>
        </is>
      </c>
    </row>
    <row r="586">
      <c r="A586" s="37" t="inlineStr">
        <is>
          <t>Tutorial creazione nuova app</t>
        </is>
      </c>
      <c r="B586" s="37" t="inlineStr">
        <is>
          <t>qvapp_approperties</t>
        </is>
      </c>
      <c r="C586" s="37" t="inlineStr">
        <is>
          <t>NxAppProperties</t>
        </is>
      </c>
      <c r="D586" s="37" t="inlineStr"/>
      <c r="E586" s="39" t="n">
        <v>178</v>
      </c>
      <c r="F586" s="37" t="inlineStr">
        <is>
          <t>2016-01-31T17:25:10</t>
        </is>
      </c>
    </row>
    <row r="587">
      <c r="A587" s="32" t="inlineStr">
        <is>
          <t>Tutorial creazione nuova app</t>
        </is>
      </c>
      <c r="B587" s="32" t="inlineStr">
        <is>
          <t>qvapp_derivedfieldlist</t>
        </is>
      </c>
      <c r="C587" s="32" t="inlineStr">
        <is>
          <t>GenericDerivedFieldEntryList</t>
        </is>
      </c>
      <c r="D587" s="32" t="inlineStr"/>
      <c r="E587" s="34" t="n">
        <v>58</v>
      </c>
      <c r="F587" s="32" t="inlineStr">
        <is>
          <t>2016-01-31T13:50:16</t>
        </is>
      </c>
    </row>
    <row r="588">
      <c r="A588" s="37" t="inlineStr">
        <is>
          <t>Tutorial creazione nuova app</t>
        </is>
      </c>
      <c r="B588" s="37" t="inlineStr">
        <is>
          <t>qvapp_deriveddefinitionlist</t>
        </is>
      </c>
      <c r="C588" s="37" t="inlineStr">
        <is>
          <t>GenericDerivedDefinitionEntryList</t>
        </is>
      </c>
      <c r="D588" s="37" t="inlineStr"/>
      <c r="E588" s="39" t="n">
        <v>58</v>
      </c>
      <c r="F588" s="37" t="inlineStr">
        <is>
          <t>2016-01-31T13:50:16</t>
        </is>
      </c>
    </row>
    <row r="589">
      <c r="A589" s="32" t="inlineStr">
        <is>
          <t>Tutorial creazione nuova app</t>
        </is>
      </c>
      <c r="B589" s="32" t="inlineStr">
        <is>
          <t>qvapp_data</t>
        </is>
      </c>
      <c r="C589" s="32" t="inlineStr">
        <is>
          <t>qvapp_cheader</t>
        </is>
      </c>
      <c r="D589" s="32" t="inlineStr"/>
      <c r="E589" s="34" t="n">
        <v>3813</v>
      </c>
      <c r="F589" s="32" t="inlineStr">
        <is>
          <t>2016-01-31T21:56:49</t>
        </is>
      </c>
    </row>
    <row r="590">
      <c r="A590" s="37" t="inlineStr">
        <is>
          <t>Tutorial creazione nuova app</t>
        </is>
      </c>
      <c r="B590" s="37" t="inlineStr">
        <is>
          <t>qvapp_qaccess</t>
        </is>
      </c>
      <c r="C590" s="37" t="inlineStr">
        <is>
          <t>qvapp_data</t>
        </is>
      </c>
      <c r="D590" s="37" t="inlineStr"/>
      <c r="E590" s="39" t="n">
        <v>27</v>
      </c>
      <c r="F590" s="37" t="inlineStr">
        <is>
          <t>2016-01-31T21:56:49</t>
        </is>
      </c>
    </row>
    <row r="591">
      <c r="A591" s="32" t="inlineStr">
        <is>
          <t>Tutorial creazione nuova app</t>
        </is>
      </c>
      <c r="B591" s="32" t="inlineStr">
        <is>
          <t>LoadModel</t>
        </is>
      </c>
      <c r="C591" s="32" t="inlineStr">
        <is>
          <t>GenericAppObjectEntry</t>
        </is>
      </c>
      <c r="D591" s="32" t="inlineStr"/>
      <c r="E591" s="34" t="n">
        <v>1336</v>
      </c>
      <c r="F591" s="32" t="inlineStr">
        <is>
          <t>2016-01-31T17:23:23</t>
        </is>
      </c>
    </row>
    <row r="592">
      <c r="A592" s="37" t="inlineStr">
        <is>
          <t>Tutorial creazione nuova app</t>
        </is>
      </c>
      <c r="B592" s="37" t="inlineStr">
        <is>
          <t>pNfY</t>
        </is>
      </c>
      <c r="C592" s="37" t="inlineStr">
        <is>
          <t>GenericAppObjectEntry</t>
        </is>
      </c>
      <c r="D592" s="37" t="inlineStr"/>
      <c r="E592" s="39" t="n">
        <v>2365</v>
      </c>
      <c r="F592" s="37" t="inlineStr">
        <is>
          <t>2016-01-31T16:34:40</t>
        </is>
      </c>
    </row>
    <row r="593">
      <c r="A593" s="32" t="inlineStr">
        <is>
          <t>Tutorial creazione nuova app</t>
        </is>
      </c>
      <c r="B593" s="32" t="inlineStr">
        <is>
          <t>DxxjRM</t>
        </is>
      </c>
      <c r="C593" s="32" t="inlineStr">
        <is>
          <t>GenericAppObjectEntry</t>
        </is>
      </c>
      <c r="D593" s="32" t="inlineStr"/>
      <c r="E593" s="34" t="n">
        <v>1524</v>
      </c>
      <c r="F593" s="32" t="inlineStr">
        <is>
          <t>2016-01-31T16:48:27</t>
        </is>
      </c>
    </row>
    <row r="594">
      <c r="A594" s="37" t="inlineStr">
        <is>
          <t>Tutorial creazione nuova app</t>
        </is>
      </c>
      <c r="B594" s="37" t="inlineStr">
        <is>
          <t>dwcu</t>
        </is>
      </c>
      <c r="C594" s="37" t="inlineStr">
        <is>
          <t>GenericAppObjectEntry</t>
        </is>
      </c>
      <c r="D594" s="37" t="inlineStr"/>
      <c r="E594" s="39" t="n">
        <v>1667</v>
      </c>
      <c r="F594" s="37" t="inlineStr">
        <is>
          <t>2016-01-31T17:11:14</t>
        </is>
      </c>
    </row>
    <row r="595">
      <c r="A595" s="32" t="inlineStr">
        <is>
          <t>Tutorial creazione nuova app</t>
        </is>
      </c>
      <c r="B595" s="32" t="inlineStr">
        <is>
          <t>jnJmy</t>
        </is>
      </c>
      <c r="C595" s="32" t="inlineStr">
        <is>
          <t>GenericAppObjectEntry</t>
        </is>
      </c>
      <c r="D595" s="32" t="inlineStr"/>
      <c r="E595" s="34" t="n">
        <v>1259</v>
      </c>
      <c r="F595" s="32" t="inlineStr">
        <is>
          <t>2016-01-31T17:30:39</t>
        </is>
      </c>
    </row>
    <row r="596">
      <c r="A596" s="37" t="inlineStr">
        <is>
          <t>Tutorial creazione nuova app</t>
        </is>
      </c>
      <c r="B596" s="37" t="inlineStr">
        <is>
          <t>rmBWDa</t>
        </is>
      </c>
      <c r="C596" s="37" t="inlineStr">
        <is>
          <t>GenericAppObjectEntry</t>
        </is>
      </c>
      <c r="D596" s="37" t="inlineStr"/>
      <c r="E596" s="39" t="n">
        <v>658</v>
      </c>
      <c r="F596" s="37" t="inlineStr">
        <is>
          <t>2016-01-31T15:35:01</t>
        </is>
      </c>
    </row>
    <row r="597">
      <c r="A597" s="32" t="inlineStr">
        <is>
          <t>Tutorial creazione nuova app</t>
        </is>
      </c>
      <c r="B597" s="32" t="inlineStr">
        <is>
          <t>ZvUFrB</t>
        </is>
      </c>
      <c r="C597" s="32" t="inlineStr">
        <is>
          <t>GenericAppObjectEntry</t>
        </is>
      </c>
      <c r="D597" s="32" t="inlineStr"/>
      <c r="E597" s="34" t="n">
        <v>493</v>
      </c>
      <c r="F597" s="32" t="inlineStr">
        <is>
          <t>2016-01-31T15:36:58</t>
        </is>
      </c>
    </row>
    <row r="598">
      <c r="A598" s="37" t="inlineStr">
        <is>
          <t>Tutorial creazione nuova app</t>
        </is>
      </c>
      <c r="B598" s="37" t="inlineStr">
        <is>
          <t>pHjKV</t>
        </is>
      </c>
      <c r="C598" s="37" t="inlineStr">
        <is>
          <t>GenericMeasureProperties</t>
        </is>
      </c>
      <c r="D598" s="37" t="inlineStr"/>
      <c r="E598" s="39" t="n">
        <v>184</v>
      </c>
      <c r="F598" s="37" t="inlineStr">
        <is>
          <t>2016-01-31T15:40:07</t>
        </is>
      </c>
    </row>
    <row r="599">
      <c r="A599" s="32" t="inlineStr">
        <is>
          <t>Tutorial creazione nuova app</t>
        </is>
      </c>
      <c r="B599" s="32" t="inlineStr">
        <is>
          <t>SKnVL</t>
        </is>
      </c>
      <c r="C599" s="32" t="inlineStr">
        <is>
          <t>GenericMeasureProperties</t>
        </is>
      </c>
      <c r="D599" s="32" t="inlineStr"/>
      <c r="E599" s="34" t="n">
        <v>210</v>
      </c>
      <c r="F599" s="32" t="inlineStr">
        <is>
          <t>2016-01-31T15:57:53</t>
        </is>
      </c>
    </row>
    <row r="600">
      <c r="A600" s="37" t="inlineStr">
        <is>
          <t>Tutorial creazione nuova app</t>
        </is>
      </c>
      <c r="B600" s="37" t="inlineStr">
        <is>
          <t>xNwJu</t>
        </is>
      </c>
      <c r="C600" s="37" t="inlineStr">
        <is>
          <t>GenericMeasureProperties</t>
        </is>
      </c>
      <c r="D600" s="37" t="inlineStr"/>
      <c r="E600" s="39" t="n">
        <v>186</v>
      </c>
      <c r="F600" s="37" t="inlineStr">
        <is>
          <t>2016-01-31T16:41:25</t>
        </is>
      </c>
    </row>
    <row r="601">
      <c r="A601" s="32" t="inlineStr">
        <is>
          <t>Tutorial creazione nuova app</t>
        </is>
      </c>
      <c r="B601" s="32" t="inlineStr">
        <is>
          <t>ZJhRsc</t>
        </is>
      </c>
      <c r="C601" s="32" t="inlineStr">
        <is>
          <t>GenericAppObjectEntry</t>
        </is>
      </c>
      <c r="D601" s="32" t="inlineStr"/>
      <c r="E601" s="34" t="n">
        <v>497</v>
      </c>
      <c r="F601" s="32" t="inlineStr">
        <is>
          <t>2016-01-31T16:50:29</t>
        </is>
      </c>
    </row>
    <row r="602">
      <c r="A602" s="37" t="inlineStr">
        <is>
          <t>Tutorial creazione nuova app</t>
        </is>
      </c>
      <c r="B602" s="37" t="inlineStr">
        <is>
          <t>CdSMz</t>
        </is>
      </c>
      <c r="C602" s="37" t="inlineStr">
        <is>
          <t>GenericMeasureProperties</t>
        </is>
      </c>
      <c r="D602" s="37" t="inlineStr"/>
      <c r="E602" s="39" t="n">
        <v>195</v>
      </c>
      <c r="F602" s="37" t="inlineStr">
        <is>
          <t>2016-01-31T16:52:37</t>
        </is>
      </c>
    </row>
    <row r="603">
      <c r="A603" s="32" t="inlineStr">
        <is>
          <t>Tutorial creazione nuova app</t>
        </is>
      </c>
      <c r="B603" s="32" t="inlineStr">
        <is>
          <t>LsPLsq</t>
        </is>
      </c>
      <c r="C603" s="32" t="inlineStr">
        <is>
          <t>GenericMeasureProperties</t>
        </is>
      </c>
      <c r="D603" s="32" t="inlineStr"/>
      <c r="E603" s="34" t="n">
        <v>209</v>
      </c>
      <c r="F603" s="32" t="inlineStr">
        <is>
          <t>2016-01-31T17:03:26</t>
        </is>
      </c>
    </row>
    <row r="604">
      <c r="A604" s="37" t="inlineStr">
        <is>
          <t>Tutorial creazione nuova app</t>
        </is>
      </c>
      <c r="B604" s="37" t="inlineStr">
        <is>
          <t>VaEaEf</t>
        </is>
      </c>
      <c r="C604" s="37" t="inlineStr">
        <is>
          <t>GenericMeasureProperties</t>
        </is>
      </c>
      <c r="D604" s="37" t="inlineStr"/>
      <c r="E604" s="39" t="n">
        <v>224</v>
      </c>
      <c r="F604" s="37" t="inlineStr">
        <is>
          <t>2016-01-31T17:03:26</t>
        </is>
      </c>
    </row>
    <row r="605">
      <c r="A605" s="32" t="inlineStr">
        <is>
          <t>Tutorial creazione nuova app</t>
        </is>
      </c>
      <c r="B605" s="32" t="inlineStr">
        <is>
          <t>GbHREb</t>
        </is>
      </c>
      <c r="C605" s="32" t="inlineStr">
        <is>
          <t>GenericAppObjectEntry</t>
        </is>
      </c>
      <c r="D605" s="32" t="inlineStr"/>
      <c r="E605" s="34" t="n">
        <v>493</v>
      </c>
      <c r="F605" s="32" t="inlineStr">
        <is>
          <t>2016-01-31T17:22:00</t>
        </is>
      </c>
    </row>
    <row r="606">
      <c r="A606" s="37" t="inlineStr">
        <is>
          <t>Tutorial creazione nuova app</t>
        </is>
      </c>
      <c r="B606" s="37" t="inlineStr">
        <is>
          <t>LsAsQkp</t>
        </is>
      </c>
      <c r="C606" s="37" t="inlineStr">
        <is>
          <t>GenericAppObjectEntry</t>
        </is>
      </c>
      <c r="D606" s="37" t="inlineStr"/>
      <c r="E606" s="39" t="n">
        <v>494</v>
      </c>
      <c r="F606" s="37" t="inlineStr">
        <is>
          <t>2016-01-31T17:22:00</t>
        </is>
      </c>
    </row>
    <row r="607">
      <c r="A607" s="32" t="inlineStr">
        <is>
          <t>Tutorial creazione nuova app</t>
        </is>
      </c>
      <c r="B607" s="32" t="inlineStr">
        <is>
          <t>CjNwb</t>
        </is>
      </c>
      <c r="C607" s="32" t="inlineStr">
        <is>
          <t>GenericAppObjectEntry</t>
        </is>
      </c>
      <c r="D607" s="32" t="inlineStr"/>
      <c r="E607" s="34" t="n">
        <v>10027</v>
      </c>
      <c r="F607" s="32" t="inlineStr">
        <is>
          <t>2016-01-31T21:56:47</t>
        </is>
      </c>
    </row>
    <row r="608">
      <c r="A608" s="37" t="inlineStr">
        <is>
          <t>Tutorial creazione nuova app</t>
        </is>
      </c>
      <c r="B608" s="37" t="inlineStr">
        <is>
          <t>hPzTmzp</t>
        </is>
      </c>
      <c r="C608" s="37" t="inlineStr">
        <is>
          <t>GenericBookmarkEntry</t>
        </is>
      </c>
      <c r="D608" s="37" t="inlineStr"/>
      <c r="E608" s="39" t="n">
        <v>1534</v>
      </c>
      <c r="F608" s="37" t="inlineStr">
        <is>
          <t>2016-01-31T19:49:40</t>
        </is>
      </c>
    </row>
    <row r="609">
      <c r="A609" s="32" t="inlineStr">
        <is>
          <t>Tutorial creazione nuova app</t>
        </is>
      </c>
      <c r="B609" s="32" t="inlineStr">
        <is>
          <t>PYfTRBp</t>
        </is>
      </c>
      <c r="C609" s="32" t="inlineStr">
        <is>
          <t>GenericBookmarkEntry</t>
        </is>
      </c>
      <c r="D609" s="32" t="inlineStr"/>
      <c r="E609" s="34" t="n">
        <v>3160</v>
      </c>
      <c r="F609" s="32" t="inlineStr">
        <is>
          <t>2016-01-31T19:49:40</t>
        </is>
      </c>
    </row>
    <row r="610">
      <c r="A610" s="37" t="inlineStr">
        <is>
          <t>Tutorial creazione nuova app</t>
        </is>
      </c>
      <c r="B610" s="37" t="inlineStr">
        <is>
          <t>tXJRmJ</t>
        </is>
      </c>
      <c r="C610" s="37" t="inlineStr">
        <is>
          <t>GenericBookmarkEntry</t>
        </is>
      </c>
      <c r="D610" s="37" t="inlineStr"/>
      <c r="E610" s="39" t="n">
        <v>2218</v>
      </c>
      <c r="F610" s="37" t="inlineStr">
        <is>
          <t>2016-01-31T19:49:40</t>
        </is>
      </c>
    </row>
    <row r="611">
      <c r="A611" s="32" t="inlineStr">
        <is>
          <t>Tutorial creazione nuova app</t>
        </is>
      </c>
      <c r="B611" s="32" t="inlineStr">
        <is>
          <t>BWPJTT</t>
        </is>
      </c>
      <c r="C611" s="32" t="inlineStr">
        <is>
          <t>GenericBookmarkEntry</t>
        </is>
      </c>
      <c r="D611" s="32" t="inlineStr"/>
      <c r="E611" s="34" t="n">
        <v>3083</v>
      </c>
      <c r="F611" s="32" t="inlineStr">
        <is>
          <t>2016-01-31T19:49:40</t>
        </is>
      </c>
    </row>
    <row r="612">
      <c r="A612" s="37" t="inlineStr">
        <is>
          <t>Tutorial creazione nuova app</t>
        </is>
      </c>
      <c r="B612" s="37" t="inlineStr">
        <is>
          <t>HHNF</t>
        </is>
      </c>
      <c r="C612" s="37" t="inlineStr">
        <is>
          <t>GenericBookmarkEntry</t>
        </is>
      </c>
      <c r="D612" s="37" t="inlineStr"/>
      <c r="E612" s="39" t="n">
        <v>2217</v>
      </c>
      <c r="F612" s="37" t="inlineStr">
        <is>
          <t>2016-01-31T19:49:40</t>
        </is>
      </c>
    </row>
    <row r="613">
      <c r="A613" s="32" t="inlineStr">
        <is>
          <t>Tutorial creazione nuova app</t>
        </is>
      </c>
      <c r="B613" s="32" t="inlineStr">
        <is>
          <t>LsqFvez</t>
        </is>
      </c>
      <c r="C613" s="32" t="inlineStr">
        <is>
          <t>GenericBookmarkEntry</t>
        </is>
      </c>
      <c r="D613" s="32" t="inlineStr"/>
      <c r="E613" s="34" t="n">
        <v>3155</v>
      </c>
      <c r="F613" s="32" t="inlineStr">
        <is>
          <t>2016-01-31T19:49:40</t>
        </is>
      </c>
    </row>
    <row r="614">
      <c r="A614" s="37" t="inlineStr">
        <is>
          <t>Tutorial creazione nuova app</t>
        </is>
      </c>
      <c r="B614" s="37" t="inlineStr">
        <is>
          <t>AxEqrD</t>
        </is>
      </c>
      <c r="C614" s="37" t="inlineStr">
        <is>
          <t>GenericBookmarkEntry</t>
        </is>
      </c>
      <c r="D614" s="37" t="inlineStr"/>
      <c r="E614" s="39" t="n">
        <v>2206</v>
      </c>
      <c r="F614" s="37" t="inlineStr">
        <is>
          <t>2016-01-31T19:49:40</t>
        </is>
      </c>
    </row>
    <row r="615">
      <c r="A615" s="32" t="inlineStr">
        <is>
          <t>Tutorial creazione nuova app</t>
        </is>
      </c>
      <c r="B615" s="32" t="inlineStr">
        <is>
          <t>aZTwkU</t>
        </is>
      </c>
      <c r="C615" s="32" t="inlineStr">
        <is>
          <t>GenericBookmarkEntry</t>
        </is>
      </c>
      <c r="D615" s="32" t="inlineStr"/>
      <c r="E615" s="34" t="n">
        <v>3157</v>
      </c>
      <c r="F615" s="32" t="inlineStr">
        <is>
          <t>2016-01-31T20:15:54</t>
        </is>
      </c>
    </row>
    <row r="616">
      <c r="A616" s="37" t="inlineStr">
        <is>
          <t>Tutorial creazione nuova app</t>
        </is>
      </c>
      <c r="B616" s="37" t="inlineStr">
        <is>
          <t>WJPWmP</t>
        </is>
      </c>
      <c r="C616" s="37" t="inlineStr">
        <is>
          <t>GenericBookmarkEntry</t>
        </is>
      </c>
      <c r="D616" s="37" t="inlineStr"/>
      <c r="E616" s="39" t="n">
        <v>2194</v>
      </c>
      <c r="F616" s="37" t="inlineStr">
        <is>
          <t>2016-01-31T20:15:54</t>
        </is>
      </c>
    </row>
    <row r="617">
      <c r="A617" s="32" t="inlineStr">
        <is>
          <t>Tutorial creazione nuova app</t>
        </is>
      </c>
      <c r="B617" s="32" t="inlineStr">
        <is>
          <t>kwUYVB</t>
        </is>
      </c>
      <c r="C617" s="32" t="inlineStr">
        <is>
          <t>GenericBookmarkEntry</t>
        </is>
      </c>
      <c r="D617" s="32" t="inlineStr"/>
      <c r="E617" s="34" t="n">
        <v>3019</v>
      </c>
      <c r="F617" s="32" t="inlineStr">
        <is>
          <t>2016-01-31T20:15:54</t>
        </is>
      </c>
    </row>
    <row r="618">
      <c r="A618" s="37" t="inlineStr">
        <is>
          <t>Tutorial creazione nuova app</t>
        </is>
      </c>
      <c r="B618" s="37" t="inlineStr">
        <is>
          <t>zzvudPx</t>
        </is>
      </c>
      <c r="C618" s="37" t="inlineStr">
        <is>
          <t>GenericBookmarkEntry</t>
        </is>
      </c>
      <c r="D618" s="37" t="inlineStr"/>
      <c r="E618" s="39" t="n">
        <v>320</v>
      </c>
      <c r="F618" s="37" t="inlineStr">
        <is>
          <t>2016-01-31T20:15:54</t>
        </is>
      </c>
    </row>
    <row r="619">
      <c r="A619" s="32" t="inlineStr">
        <is>
          <t>Tutorial creazione nuova app</t>
        </is>
      </c>
      <c r="B619" s="32" t="inlineStr">
        <is>
          <t>BKPXpFb</t>
        </is>
      </c>
      <c r="C619" s="32" t="inlineStr">
        <is>
          <t>GenericBookmarkEntry</t>
        </is>
      </c>
      <c r="D619" s="32" t="inlineStr"/>
      <c r="E619" s="34" t="n">
        <v>320</v>
      </c>
      <c r="F619" s="32" t="inlineStr">
        <is>
          <t>2016-01-31T20:15:54</t>
        </is>
      </c>
    </row>
    <row r="620">
      <c r="A620" s="37" t="inlineStr">
        <is>
          <t>Tutorial creazione script</t>
        </is>
      </c>
      <c r="B620" s="37" t="inlineStr">
        <is>
          <t>qvapp_header</t>
        </is>
      </c>
      <c r="C620" s="37" t="inlineStr">
        <is>
          <t>qvapp_header</t>
        </is>
      </c>
      <c r="D620" s="37" t="inlineStr"/>
      <c r="E620" s="39" t="n">
        <v>193</v>
      </c>
      <c r="F620" s="37" t="inlineStr">
        <is>
          <t>2016-01-31T22:06:42</t>
        </is>
      </c>
    </row>
    <row r="621">
      <c r="A621" s="32" t="inlineStr">
        <is>
          <t>Tutorial creazione script</t>
        </is>
      </c>
      <c r="B621" s="32" t="inlineStr">
        <is>
          <t>data/field_0</t>
        </is>
      </c>
      <c r="C621" s="32" t="inlineStr">
        <is>
          <t>qvapp_cfield</t>
        </is>
      </c>
      <c r="D621" s="32" t="inlineStr"/>
      <c r="E621" s="34" t="n">
        <v>255</v>
      </c>
      <c r="F621" s="32" t="inlineStr">
        <is>
          <t>2016-01-31T21:58:54</t>
        </is>
      </c>
    </row>
    <row r="622">
      <c r="A622" s="37" t="inlineStr">
        <is>
          <t>Tutorial creazione script</t>
        </is>
      </c>
      <c r="B622" s="37" t="inlineStr">
        <is>
          <t>data/field_1</t>
        </is>
      </c>
      <c r="C622" s="37" t="inlineStr">
        <is>
          <t>qvapp_cfield</t>
        </is>
      </c>
      <c r="D622" s="37" t="inlineStr"/>
      <c r="E622" s="39" t="n">
        <v>274</v>
      </c>
      <c r="F622" s="37" t="inlineStr">
        <is>
          <t>2016-01-31T21:58:54</t>
        </is>
      </c>
    </row>
    <row r="623">
      <c r="A623" s="32" t="inlineStr">
        <is>
          <t>Tutorial creazione script</t>
        </is>
      </c>
      <c r="B623" s="32" t="inlineStr">
        <is>
          <t>data/field_3</t>
        </is>
      </c>
      <c r="C623" s="32" t="inlineStr">
        <is>
          <t>qvapp_cfield</t>
        </is>
      </c>
      <c r="D623" s="32" t="inlineStr"/>
      <c r="E623" s="34" t="n">
        <v>195</v>
      </c>
      <c r="F623" s="32" t="inlineStr">
        <is>
          <t>2016-01-31T21:58:54</t>
        </is>
      </c>
    </row>
    <row r="624">
      <c r="A624" s="37" t="inlineStr">
        <is>
          <t>Tutorial creazione script</t>
        </is>
      </c>
      <c r="B624" s="37" t="inlineStr">
        <is>
          <t>data/field_4</t>
        </is>
      </c>
      <c r="C624" s="37" t="inlineStr">
        <is>
          <t>qvapp_cfield</t>
        </is>
      </c>
      <c r="D624" s="37" t="inlineStr"/>
      <c r="E624" s="39" t="n">
        <v>217</v>
      </c>
      <c r="F624" s="37" t="inlineStr">
        <is>
          <t>2016-01-31T21:58:54</t>
        </is>
      </c>
    </row>
    <row r="625">
      <c r="A625" s="32" t="inlineStr">
        <is>
          <t>Tutorial creazione script</t>
        </is>
      </c>
      <c r="B625" s="32" t="inlineStr">
        <is>
          <t>data/field_5</t>
        </is>
      </c>
      <c r="C625" s="32" t="inlineStr">
        <is>
          <t>qvapp_cfield</t>
        </is>
      </c>
      <c r="D625" s="32" t="inlineStr"/>
      <c r="E625" s="34" t="n">
        <v>185</v>
      </c>
      <c r="F625" s="32" t="inlineStr">
        <is>
          <t>2016-01-31T21:58:54</t>
        </is>
      </c>
    </row>
    <row r="626">
      <c r="A626" s="37" t="inlineStr">
        <is>
          <t>Tutorial creazione script</t>
        </is>
      </c>
      <c r="B626" s="37" t="inlineStr">
        <is>
          <t>data/field_6</t>
        </is>
      </c>
      <c r="C626" s="37" t="inlineStr">
        <is>
          <t>qvapp_cfield</t>
        </is>
      </c>
      <c r="D626" s="37" t="inlineStr"/>
      <c r="E626" s="39" t="n">
        <v>235</v>
      </c>
      <c r="F626" s="37" t="inlineStr">
        <is>
          <t>2016-01-31T21:58:54</t>
        </is>
      </c>
    </row>
    <row r="627">
      <c r="A627" s="32" t="inlineStr">
        <is>
          <t>Tutorial creazione script</t>
        </is>
      </c>
      <c r="B627" s="32" t="inlineStr">
        <is>
          <t>data/field_7</t>
        </is>
      </c>
      <c r="C627" s="32" t="inlineStr">
        <is>
          <t>qvapp_cfield</t>
        </is>
      </c>
      <c r="D627" s="32" t="inlineStr"/>
      <c r="E627" s="34" t="n">
        <v>186</v>
      </c>
      <c r="F627" s="32" t="inlineStr">
        <is>
          <t>2016-01-31T21:58:54</t>
        </is>
      </c>
    </row>
    <row r="628">
      <c r="A628" s="37" t="inlineStr">
        <is>
          <t>Tutorial creazione script</t>
        </is>
      </c>
      <c r="B628" s="37" t="inlineStr">
        <is>
          <t>data/field_8</t>
        </is>
      </c>
      <c r="C628" s="37" t="inlineStr">
        <is>
          <t>qvapp_cfield</t>
        </is>
      </c>
      <c r="D628" s="37" t="inlineStr"/>
      <c r="E628" s="39" t="n">
        <v>578</v>
      </c>
      <c r="F628" s="37" t="inlineStr">
        <is>
          <t>2016-01-31T21:58:54</t>
        </is>
      </c>
    </row>
    <row r="629">
      <c r="A629" s="32" t="inlineStr">
        <is>
          <t>Tutorial creazione script</t>
        </is>
      </c>
      <c r="B629" s="32" t="inlineStr">
        <is>
          <t>data/field_9</t>
        </is>
      </c>
      <c r="C629" s="32" t="inlineStr">
        <is>
          <t>qvapp_cfield</t>
        </is>
      </c>
      <c r="D629" s="32" t="inlineStr"/>
      <c r="E629" s="34" t="n">
        <v>474</v>
      </c>
      <c r="F629" s="32" t="inlineStr">
        <is>
          <t>2016-01-31T21:58:54</t>
        </is>
      </c>
    </row>
    <row r="630">
      <c r="A630" s="37" t="inlineStr">
        <is>
          <t>Tutorial creazione script</t>
        </is>
      </c>
      <c r="B630" s="37" t="inlineStr">
        <is>
          <t>data/field_10</t>
        </is>
      </c>
      <c r="C630" s="37" t="inlineStr">
        <is>
          <t>qvapp_cfield</t>
        </is>
      </c>
      <c r="D630" s="37" t="inlineStr"/>
      <c r="E630" s="39" t="n">
        <v>186</v>
      </c>
      <c r="F630" s="37" t="inlineStr">
        <is>
          <t>2016-01-31T21:58:54</t>
        </is>
      </c>
    </row>
    <row r="631">
      <c r="A631" s="32" t="inlineStr">
        <is>
          <t>Tutorial creazione script</t>
        </is>
      </c>
      <c r="B631" s="32" t="inlineStr">
        <is>
          <t>data/field_11</t>
        </is>
      </c>
      <c r="C631" s="32" t="inlineStr">
        <is>
          <t>qvapp_cfield</t>
        </is>
      </c>
      <c r="D631" s="32" t="inlineStr"/>
      <c r="E631" s="34" t="n">
        <v>186</v>
      </c>
      <c r="F631" s="32" t="inlineStr">
        <is>
          <t>2016-01-31T21:58:54</t>
        </is>
      </c>
    </row>
    <row r="632">
      <c r="A632" s="37" t="inlineStr">
        <is>
          <t>Tutorial creazione script</t>
        </is>
      </c>
      <c r="B632" s="37" t="inlineStr">
        <is>
          <t>data/field_12</t>
        </is>
      </c>
      <c r="C632" s="37" t="inlineStr">
        <is>
          <t>qvapp_cfield</t>
        </is>
      </c>
      <c r="D632" s="37" t="inlineStr"/>
      <c r="E632" s="39" t="n">
        <v>192</v>
      </c>
      <c r="F632" s="37" t="inlineStr">
        <is>
          <t>2016-01-31T21:58:54</t>
        </is>
      </c>
    </row>
    <row r="633">
      <c r="A633" s="32" t="inlineStr">
        <is>
          <t>Tutorial creazione script</t>
        </is>
      </c>
      <c r="B633" s="32" t="inlineStr">
        <is>
          <t>data/field_13</t>
        </is>
      </c>
      <c r="C633" s="32" t="inlineStr">
        <is>
          <t>qvapp_cfield</t>
        </is>
      </c>
      <c r="D633" s="32" t="inlineStr"/>
      <c r="E633" s="34" t="n">
        <v>201</v>
      </c>
      <c r="F633" s="32" t="inlineStr">
        <is>
          <t>2016-01-31T22:06:42</t>
        </is>
      </c>
    </row>
    <row r="634">
      <c r="A634" s="37" t="inlineStr">
        <is>
          <t>Tutorial creazione script</t>
        </is>
      </c>
      <c r="B634" s="37" t="inlineStr">
        <is>
          <t>data/field_14</t>
        </is>
      </c>
      <c r="C634" s="37" t="inlineStr">
        <is>
          <t>qvapp_cfield</t>
        </is>
      </c>
      <c r="D634" s="37" t="inlineStr"/>
      <c r="E634" s="39" t="n">
        <v>192</v>
      </c>
      <c r="F634" s="37" t="inlineStr">
        <is>
          <t>2016-01-31T22:06:42</t>
        </is>
      </c>
    </row>
    <row r="635">
      <c r="A635" s="32" t="inlineStr">
        <is>
          <t>Tutorial creazione script</t>
        </is>
      </c>
      <c r="B635" s="32" t="inlineStr">
        <is>
          <t>data/field_15</t>
        </is>
      </c>
      <c r="C635" s="32" t="inlineStr">
        <is>
          <t>qvapp_cfield</t>
        </is>
      </c>
      <c r="D635" s="32" t="inlineStr"/>
      <c r="E635" s="34" t="n">
        <v>1234</v>
      </c>
      <c r="F635" s="32" t="inlineStr">
        <is>
          <t>2016-01-31T22:06:42</t>
        </is>
      </c>
    </row>
    <row r="636">
      <c r="A636" s="37" t="inlineStr">
        <is>
          <t>Tutorial creazione script</t>
        </is>
      </c>
      <c r="B636" s="37" t="inlineStr">
        <is>
          <t>data/field_16</t>
        </is>
      </c>
      <c r="C636" s="37" t="inlineStr">
        <is>
          <t>qvapp_cfield</t>
        </is>
      </c>
      <c r="D636" s="37" t="inlineStr"/>
      <c r="E636" s="39" t="n">
        <v>216</v>
      </c>
      <c r="F636" s="37" t="inlineStr">
        <is>
          <t>2016-01-31T22:06:42</t>
        </is>
      </c>
    </row>
    <row r="637">
      <c r="A637" s="32" t="inlineStr">
        <is>
          <t>Tutorial creazione script</t>
        </is>
      </c>
      <c r="B637" s="32" t="inlineStr">
        <is>
          <t>data/field_17</t>
        </is>
      </c>
      <c r="C637" s="32" t="inlineStr">
        <is>
          <t>qvapp_cfield</t>
        </is>
      </c>
      <c r="D637" s="32" t="inlineStr"/>
      <c r="E637" s="34" t="n">
        <v>12697</v>
      </c>
      <c r="F637" s="32" t="inlineStr">
        <is>
          <t>2016-01-31T22:06:42</t>
        </is>
      </c>
    </row>
    <row r="638">
      <c r="A638" s="37" t="inlineStr">
        <is>
          <t>Tutorial creazione script</t>
        </is>
      </c>
      <c r="B638" s="37" t="inlineStr">
        <is>
          <t>data/table_0</t>
        </is>
      </c>
      <c r="C638" s="37" t="inlineStr">
        <is>
          <t>qvapp_ctable</t>
        </is>
      </c>
      <c r="D638" s="37" t="inlineStr"/>
      <c r="E638" s="39" t="n">
        <v>186</v>
      </c>
      <c r="F638" s="37" t="inlineStr">
        <is>
          <t>2016-01-31T22:06:42</t>
        </is>
      </c>
    </row>
    <row r="639">
      <c r="A639" s="32" t="inlineStr">
        <is>
          <t>Tutorial creazione script</t>
        </is>
      </c>
      <c r="B639" s="32" t="inlineStr">
        <is>
          <t>data/table_1</t>
        </is>
      </c>
      <c r="C639" s="32" t="inlineStr">
        <is>
          <t>qvapp_ctable</t>
        </is>
      </c>
      <c r="D639" s="32" t="inlineStr"/>
      <c r="E639" s="34" t="n">
        <v>598</v>
      </c>
      <c r="F639" s="32" t="inlineStr">
        <is>
          <t>2016-01-31T22:06:42</t>
        </is>
      </c>
    </row>
    <row r="640">
      <c r="A640" s="37" t="inlineStr">
        <is>
          <t>Tutorial creazione script</t>
        </is>
      </c>
      <c r="B640" s="37" t="inlineStr">
        <is>
          <t>data/table_2</t>
        </is>
      </c>
      <c r="C640" s="37" t="inlineStr">
        <is>
          <t>qvapp_ctable</t>
        </is>
      </c>
      <c r="D640" s="37" t="inlineStr"/>
      <c r="E640" s="39" t="n">
        <v>11352</v>
      </c>
      <c r="F640" s="37" t="inlineStr">
        <is>
          <t>2016-01-31T22:06:42</t>
        </is>
      </c>
    </row>
    <row r="641">
      <c r="A641" s="32" t="inlineStr">
        <is>
          <t>Tutorial creazione script</t>
        </is>
      </c>
      <c r="B641" s="32" t="inlineStr">
        <is>
          <t>data/table_3</t>
        </is>
      </c>
      <c r="C641" s="32" t="inlineStr">
        <is>
          <t>qvapp_ctable</t>
        </is>
      </c>
      <c r="D641" s="32" t="inlineStr"/>
      <c r="E641" s="34" t="n">
        <v>199</v>
      </c>
      <c r="F641" s="32" t="inlineStr">
        <is>
          <t>2016-01-31T22:06:42</t>
        </is>
      </c>
    </row>
    <row r="642">
      <c r="A642" s="37" t="inlineStr">
        <is>
          <t>Tutorial creazione script</t>
        </is>
      </c>
      <c r="B642" s="37" t="inlineStr">
        <is>
          <t>data/table_4</t>
        </is>
      </c>
      <c r="C642" s="37" t="inlineStr">
        <is>
          <t>qvapp_ctable</t>
        </is>
      </c>
      <c r="D642" s="37" t="inlineStr"/>
      <c r="E642" s="39" t="n">
        <v>184</v>
      </c>
      <c r="F642" s="37" t="inlineStr">
        <is>
          <t>2016-01-31T22:06:42</t>
        </is>
      </c>
    </row>
    <row r="643">
      <c r="A643" s="32" t="inlineStr">
        <is>
          <t>Tutorial creazione script</t>
        </is>
      </c>
      <c r="B643" s="32" t="inlineStr">
        <is>
          <t>data/table_5</t>
        </is>
      </c>
      <c r="C643" s="32" t="inlineStr">
        <is>
          <t>qvapp_ctable</t>
        </is>
      </c>
      <c r="D643" s="32" t="inlineStr"/>
      <c r="E643" s="34" t="n">
        <v>124</v>
      </c>
      <c r="F643" s="32" t="inlineStr">
        <is>
          <t>2016-01-31T22:06:42</t>
        </is>
      </c>
    </row>
    <row r="644">
      <c r="A644" s="37" t="inlineStr">
        <is>
          <t>Tutorial creazione script</t>
        </is>
      </c>
      <c r="B644" s="37" t="inlineStr">
        <is>
          <t>data/field_2</t>
        </is>
      </c>
      <c r="C644" s="37" t="inlineStr">
        <is>
          <t>qvapp_cfield</t>
        </is>
      </c>
      <c r="D644" s="37" t="inlineStr"/>
      <c r="E644" s="39" t="n">
        <v>206</v>
      </c>
      <c r="F644" s="37" t="inlineStr">
        <is>
          <t>2016-01-31T22:06:42</t>
        </is>
      </c>
    </row>
    <row r="645">
      <c r="A645" s="32" t="inlineStr">
        <is>
          <t>Tutorial creazione script</t>
        </is>
      </c>
      <c r="B645" s="32" t="inlineStr">
        <is>
          <t>qvapp_variablelist</t>
        </is>
      </c>
      <c r="C645" s="32" t="inlineStr">
        <is>
          <t>GenericVariableEntryList</t>
        </is>
      </c>
      <c r="D645" s="32" t="inlineStr"/>
      <c r="E645" s="34" t="n">
        <v>1270</v>
      </c>
      <c r="F645" s="32" t="inlineStr">
        <is>
          <t>2016-01-31T21:58:15</t>
        </is>
      </c>
    </row>
    <row r="646">
      <c r="A646" s="37" t="inlineStr">
        <is>
          <t>Tutorial creazione script</t>
        </is>
      </c>
      <c r="B646" s="37" t="inlineStr">
        <is>
          <t>user_variablelist</t>
        </is>
      </c>
      <c r="C646" s="37" t="inlineStr">
        <is>
          <t>GenericVariableEntryList</t>
        </is>
      </c>
      <c r="D646" s="37" t="inlineStr"/>
      <c r="E646" s="39" t="n">
        <v>81</v>
      </c>
      <c r="F646" s="37" t="inlineStr">
        <is>
          <t>2016-01-31T21:57:49</t>
        </is>
      </c>
    </row>
    <row r="647">
      <c r="A647" s="32" t="inlineStr">
        <is>
          <t>Tutorial creazione script</t>
        </is>
      </c>
      <c r="B647" s="32" t="inlineStr">
        <is>
          <t>qvapp_appscript</t>
        </is>
      </c>
      <c r="C647" s="32" t="inlineStr">
        <is>
          <t>AppScriptObject</t>
        </is>
      </c>
      <c r="D647" s="32" t="inlineStr"/>
      <c r="E647" s="34" t="n">
        <v>821</v>
      </c>
      <c r="F647" s="32" t="inlineStr">
        <is>
          <t>2016-01-31T21:58:54</t>
        </is>
      </c>
    </row>
    <row r="648">
      <c r="A648" s="37" t="inlineStr">
        <is>
          <t>Tutorial creazione script</t>
        </is>
      </c>
      <c r="B648" s="37" t="inlineStr">
        <is>
          <t>qvapp_allproperties</t>
        </is>
      </c>
      <c r="C648" s="37" t="inlineStr">
        <is>
          <t>AllProperties</t>
        </is>
      </c>
      <c r="D648" s="37" t="inlineStr"/>
      <c r="E648" s="39" t="n">
        <v>125620</v>
      </c>
      <c r="F648" s="37" t="inlineStr">
        <is>
          <t>2016-01-31T22:06:42</t>
        </is>
      </c>
    </row>
    <row r="649">
      <c r="A649" s="32" t="inlineStr">
        <is>
          <t>Tutorial creazione script</t>
        </is>
      </c>
      <c r="B649" s="32" t="inlineStr">
        <is>
          <t>qvapp_approperties</t>
        </is>
      </c>
      <c r="C649" s="32" t="inlineStr">
        <is>
          <t>NxAppProperties</t>
        </is>
      </c>
      <c r="D649" s="32" t="inlineStr"/>
      <c r="E649" s="34" t="n">
        <v>176</v>
      </c>
      <c r="F649" s="32" t="inlineStr">
        <is>
          <t>2016-01-31T22:06:42</t>
        </is>
      </c>
    </row>
    <row r="650">
      <c r="A650" s="37" t="inlineStr">
        <is>
          <t>Tutorial creazione script</t>
        </is>
      </c>
      <c r="B650" s="37" t="inlineStr">
        <is>
          <t>qvapp_derivedfieldlist</t>
        </is>
      </c>
      <c r="C650" s="37" t="inlineStr">
        <is>
          <t>GenericDerivedFieldEntryList</t>
        </is>
      </c>
      <c r="D650" s="37" t="inlineStr"/>
      <c r="E650" s="39" t="n">
        <v>58</v>
      </c>
      <c r="F650" s="37" t="inlineStr">
        <is>
          <t>2016-01-31T21:57:49</t>
        </is>
      </c>
    </row>
    <row r="651">
      <c r="A651" s="32" t="inlineStr">
        <is>
          <t>Tutorial creazione script</t>
        </is>
      </c>
      <c r="B651" s="32" t="inlineStr">
        <is>
          <t>qvapp_deriveddefinitionlist</t>
        </is>
      </c>
      <c r="C651" s="32" t="inlineStr">
        <is>
          <t>GenericDerivedDefinitionEntryList</t>
        </is>
      </c>
      <c r="D651" s="32" t="inlineStr"/>
      <c r="E651" s="34" t="n">
        <v>58</v>
      </c>
      <c r="F651" s="32" t="inlineStr">
        <is>
          <t>2016-01-31T21:57:49</t>
        </is>
      </c>
    </row>
    <row r="652">
      <c r="A652" s="37" t="inlineStr">
        <is>
          <t>Tutorial creazione script</t>
        </is>
      </c>
      <c r="B652" s="37" t="inlineStr">
        <is>
          <t>qvapp_data</t>
        </is>
      </c>
      <c r="C652" s="37" t="inlineStr">
        <is>
          <t>qvapp_cheader</t>
        </is>
      </c>
      <c r="D652" s="37" t="inlineStr"/>
      <c r="E652" s="39" t="n">
        <v>2054</v>
      </c>
      <c r="F652" s="37" t="inlineStr">
        <is>
          <t>2016-01-31T22:06:42</t>
        </is>
      </c>
    </row>
    <row r="653">
      <c r="A653" s="32" t="inlineStr">
        <is>
          <t>Tutorial creazione script</t>
        </is>
      </c>
      <c r="B653" s="32" t="inlineStr">
        <is>
          <t>qvapp_qaccess</t>
        </is>
      </c>
      <c r="C653" s="32" t="inlineStr">
        <is>
          <t>qvapp_data</t>
        </is>
      </c>
      <c r="D653" s="32" t="inlineStr"/>
      <c r="E653" s="34" t="n">
        <v>27</v>
      </c>
      <c r="F653" s="32" t="inlineStr">
        <is>
          <t>2016-01-31T22:06:42</t>
        </is>
      </c>
    </row>
  </sheetData>
  <autoFilter ref="A6:F653"/>
  <mergeCells count="1">
    <mergeCell ref="C2:D3"/>
  </mergeCells>
  <pageMargins left="0.75" right="0.75" top="1" bottom="1" header="0.5" footer="0.5"/>
  <pageSetup orientation="landscape" fitToHeight="0" fitToWidth="1"/>
  <drawing xmlns:r="http://schemas.openxmlformats.org/officeDocument/2006/relationships" r:id="rId1"/>
</worksheet>
</file>

<file path=xl/worksheets/sheet20.xml><?xml version="1.0" encoding="utf-8"?>
<worksheet xmlns="http://schemas.openxmlformats.org/spreadsheetml/2006/main">
  <sheetPr>
    <tabColor rgb="00C0392B"/>
    <outlinePr summaryBelow="1" summaryRight="1"/>
    <pageSetUpPr fitToPage="1"/>
  </sheetPr>
  <dimension ref="A2:C7"/>
  <sheetViews>
    <sheetView showGridLines="0" workbookViewId="0">
      <pane ySplit="6" topLeftCell="A7" activePane="bottomLeft" state="frozen"/>
      <selection pane="bottomLeft" activeCell="A1" sqref="A1"/>
    </sheetView>
  </sheetViews>
  <sheetFormatPr baseColWidth="8" defaultRowHeight="15"/>
  <cols>
    <col width="26" customWidth="1" min="1" max="1"/>
    <col width="6" customWidth="1" min="2" max="2"/>
    <col width="140" customWidth="1" min="3" max="3"/>
  </cols>
  <sheetData>
    <row r="1" ht="24" customHeight="1"/>
    <row r="2" ht="24" customHeight="1">
      <c r="C2" s="1" t="inlineStr">
        <is>
          <t>Warnings  ·  what discovery could not do</t>
        </is>
      </c>
    </row>
    <row r="3" ht="20" customHeight="1"/>
    <row r="4" ht="10" customHeight="1"/>
    <row r="5" ht="18" customHeight="1">
      <c r="A5" s="29">
        <f>HYPERLINK("#'Discovery'!A1","«  Back to Discovery")</f>
        <v/>
      </c>
      <c r="B5" s="30" t="inlineStr">
        <is>
          <t>Apps that could not be parsed and anything the parser could not decode. Read this one.</t>
        </is>
      </c>
    </row>
    <row r="6" ht="30" customHeight="1">
      <c r="A6" s="31" t="inlineStr">
        <is>
          <t>App</t>
        </is>
      </c>
      <c r="B6" s="31" t="inlineStr">
        <is>
          <t>#</t>
        </is>
      </c>
      <c r="C6" s="31" t="inlineStr">
        <is>
          <t>Message</t>
        </is>
      </c>
    </row>
    <row r="7">
      <c r="A7" s="32" t="inlineStr">
        <is>
          <t>Sales Analysis</t>
        </is>
      </c>
      <c r="B7" s="34" t="n">
        <v>1</v>
      </c>
      <c r="C7" s="42" t="inlineStr">
        <is>
          <t>qlik-parser returned 1 variables without name or id (it reads qData; this app stores qProperties); replaced by qvf-app's 24 named variables</t>
        </is>
      </c>
    </row>
  </sheetData>
  <autoFilter ref="A6:C7"/>
  <mergeCells count="1">
    <mergeCell ref="C2:C3"/>
  </mergeCells>
  <pageMargins left="0.75" right="0.75" top="1" bottom="1" header="0.5" footer="0.5"/>
  <pageSetup orientation="landscape" fitToHeight="0" fitToWidth="1"/>
  <drawing xmlns:r="http://schemas.openxmlformats.org/officeDocument/2006/relationships" r:id="rId1"/>
</worksheet>
</file>

<file path=xl/worksheets/sheet21.xml><?xml version="1.0" encoding="utf-8"?>
<worksheet xmlns="http://schemas.openxmlformats.org/spreadsheetml/2006/main">
  <sheetPr>
    <tabColor rgb="00006580"/>
    <outlinePr summaryBelow="1" summaryRight="1"/>
    <pageSetUpPr fitToPage="1"/>
  </sheetPr>
  <dimension ref="A2:F54"/>
  <sheetViews>
    <sheetView showGridLines="0"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44" customWidth="1" min="6" max="6"/>
  </cols>
  <sheetData>
    <row r="1" ht="24" customHeight="1"/>
    <row r="2" ht="24" customHeight="1">
      <c r="C2" s="1" t="inlineStr">
        <is>
          <t>Information  ·  how to read this workbook</t>
        </is>
      </c>
    </row>
    <row r="3" ht="20" customHeight="1"/>
    <row r="4" ht="10" customHeight="1"/>
    <row r="5" ht="18" customHeight="1">
      <c r="A5" s="29">
        <f>HYPERLINK("#'Discovery'!A1","«  Back to Discovery")</f>
        <v/>
      </c>
      <c r="B5" s="30" t="inlineStr">
        <is>
          <t>How to read this workbook.</t>
        </is>
      </c>
    </row>
    <row r="8">
      <c r="A8" s="44" t="inlineStr">
        <is>
          <t>What this workbook is</t>
        </is>
      </c>
    </row>
    <row r="9" ht="56" customHeight="1">
      <c r="A9" s="45" t="inlineStr">
        <is>
          <t>A discovery report: an inventory of every Qlik app in the input folder, produced by reading the .qvf files offline with qvf-app (built on the open-source qlik-parser). Nothing was reloaded and no data source was contacted. The Discovery sheet shows portfolio figures from Totals; Apps has one row per app; every detail sheet starts with the App column, so filter it to look at one app.</t>
        </is>
      </c>
    </row>
    <row r="11">
      <c r="A11" s="44" t="inlineStr">
        <is>
          <t>What happens next</t>
        </is>
      </c>
    </row>
    <row r="12" ht="56" customHeight="1">
      <c r="A12" s="45" t="inlineStr">
        <is>
          <t>Use this workbook to scope the Qlik Sense → Power BI migration: sheets become report pages, visualizations become visuals, master measures and expression variables become DAX measures, master dimensions become model columns and hierarchies, and the load scripts and their data sources become Power Query queries. Start with the Apps sheet (effort score and complexity per app); the weights on Totals are editable.</t>
        </is>
      </c>
    </row>
    <row r="14">
      <c r="A14" s="44" t="inlineStr">
        <is>
          <t>What each sheet holds</t>
        </is>
      </c>
    </row>
    <row r="15">
      <c r="A15" s="46" t="inlineStr">
        <is>
          <t>Sheet</t>
        </is>
      </c>
      <c r="B15" s="46" t="inlineStr">
        <is>
          <t>Contents</t>
        </is>
      </c>
    </row>
    <row r="16">
      <c r="A16" s="47">
        <f>HYPERLINK("#'Discovery'!A1","Discovery")</f>
        <v/>
      </c>
      <c r="B16" s="45" t="inlineStr">
        <is>
          <t>The dashboard: portfolio numbers, scan summary and charts. Every figure links to Totals.</t>
        </is>
      </c>
    </row>
    <row r="17">
      <c r="A17" s="48">
        <f>HYPERLINK("#'Apps'!A1","Apps")</f>
        <v/>
      </c>
      <c r="B17" s="49" t="inlineStr">
        <is>
          <t>One row per app: file, status, every count, effort score and migration complexity (all formulas).</t>
        </is>
      </c>
      <c r="C17" s="11" t="n"/>
      <c r="D17" s="11" t="n"/>
      <c r="E17" s="11" t="n"/>
      <c r="F17" s="11" t="n"/>
    </row>
    <row r="18">
      <c r="A18" s="47">
        <f>HYPERLINK("#'Sheets'!A1","Sheets")</f>
        <v/>
      </c>
      <c r="B18" s="45" t="inlineStr">
        <is>
          <t>One row per sheet in every app: title, description, visualizations on it, master-item reuse.</t>
        </is>
      </c>
    </row>
    <row r="19">
      <c r="A19" s="48">
        <f>HYPERLINK("#'Visualizations'!A1","Visualizations")</f>
        <v/>
      </c>
      <c r="B19" s="49" t="inlineStr">
        <is>
          <t>Every object on every sheet (including containers and filter panes): type, title, master visualization link, dimensions, measures, grid position.</t>
        </is>
      </c>
      <c r="C19" s="11" t="n"/>
      <c r="D19" s="11" t="n"/>
      <c r="E19" s="11" t="n"/>
      <c r="F19" s="11" t="n"/>
    </row>
    <row r="20">
      <c r="A20" s="47">
        <f>HYPERLINK("#'MasterMeasures'!A1","MasterMeasures")</f>
        <v/>
      </c>
      <c r="B20" s="45" t="inlineStr">
        <is>
          <t>Library measures with the full expression, complexity flags and how often they are used.</t>
        </is>
      </c>
    </row>
    <row r="21">
      <c r="A21" s="48">
        <f>HYPERLINK("#'MasterDimensions'!A1","MasterDimensions")</f>
        <v/>
      </c>
      <c r="B21" s="49" t="inlineStr">
        <is>
          <t>Library dimensions: fields, single or drill-down, usage.</t>
        </is>
      </c>
      <c r="C21" s="11" t="n"/>
      <c r="D21" s="11" t="n"/>
      <c r="E21" s="11" t="n"/>
      <c r="F21" s="11" t="n"/>
    </row>
    <row r="22">
      <c r="A22" s="47">
        <f>HYPERLINK("#'MasterVisualizations'!A1","MasterVisualizations")</f>
        <v/>
      </c>
      <c r="B22" s="45" t="inlineStr">
        <is>
          <t>Reusable library charts with their dimensions, measures and usage.</t>
        </is>
      </c>
    </row>
    <row r="23">
      <c r="A23" s="48">
        <f>HYPERLINK("#'MasterItemUsage'!A1","MasterItemUsage")</f>
        <v/>
      </c>
      <c r="B23" s="49" t="inlineStr">
        <is>
          <t>One row per link from a visualization to a master item; feeds the usage counts.</t>
        </is>
      </c>
      <c r="C23" s="11" t="n"/>
      <c r="D23" s="11" t="n"/>
      <c r="E23" s="11" t="n"/>
      <c r="F23" s="11" t="n"/>
    </row>
    <row r="24">
      <c r="A24" s="47">
        <f>HYPERLINK("#'Variables'!A1","Variables")</f>
        <v/>
      </c>
      <c r="B24" s="45" t="inlineStr">
        <is>
          <t>Script and user variables, their definitions and whether they are expressions.</t>
        </is>
      </c>
    </row>
    <row r="25">
      <c r="A25" s="48">
        <f>HYPERLINK("#'Bookmarks'!A1","Bookmarks")</f>
        <v/>
      </c>
      <c r="B25" s="49" t="inlineStr">
        <is>
          <t>Saved selections with title, description and stored selection text.</t>
        </is>
      </c>
      <c r="C25" s="11" t="n"/>
      <c r="D25" s="11" t="n"/>
      <c r="E25" s="11" t="n"/>
      <c r="F25" s="11" t="n"/>
    </row>
    <row r="26">
      <c r="A26" s="47">
        <f>HYPERLINK("#'Stories'!A1","Stories")</f>
        <v/>
      </c>
      <c r="B26" s="45" t="inlineStr">
        <is>
          <t>Stories with slide and slide-item counts.</t>
        </is>
      </c>
    </row>
    <row r="27">
      <c r="A27" s="48">
        <f>HYPERLINK("#'LoadScript'!A1","LoadScript")</f>
        <v/>
      </c>
      <c r="B27" s="49" t="inlineStr">
        <is>
          <t>One row per script tab: lines and counts of LOAD, SELECT, STORE, JOIN and other statements.</t>
        </is>
      </c>
      <c r="C27" s="11" t="n"/>
      <c r="D27" s="11" t="n"/>
      <c r="E27" s="11" t="n"/>
      <c r="F27" s="11" t="n"/>
    </row>
    <row r="28">
      <c r="A28" s="47">
        <f>HYPERLINK("#'DataSources'!A1","DataSources")</f>
        <v/>
      </c>
      <c r="B28" s="45" t="inlineStr">
        <is>
          <t>Every connection, SQL query, file, resident and inline load and STORE in every script.</t>
        </is>
      </c>
    </row>
    <row r="29">
      <c r="A29" s="48">
        <f>HYPERLINK("#'DataTables'!A1","DataTables")</f>
        <v/>
      </c>
      <c r="B29" s="49" t="inlineStr">
        <is>
          <t>Tables stored in each app with source, row and column counts (none when saved without data).</t>
        </is>
      </c>
      <c r="C29" s="11" t="n"/>
      <c r="D29" s="11" t="n"/>
      <c r="E29" s="11" t="n"/>
      <c r="F29" s="11" t="n"/>
    </row>
    <row r="30">
      <c r="A30" s="47">
        <f>HYPERLINK("#'Fields'!A1","Fields")</f>
        <v/>
      </c>
      <c r="B30" s="45" t="inlineStr">
        <is>
          <t>Data-model fields with distinct values, tables, tags and sample values.</t>
        </is>
      </c>
    </row>
    <row r="31">
      <c r="A31" s="48">
        <f>HYPERLINK("#'LegacyObjects'!A1","LegacyObjects")</f>
        <v/>
      </c>
      <c r="B31" s="49" t="inlineStr">
        <is>
          <t>QlikView sheet objects (QlikView documents saved as .qvf): expressions and fields.</t>
        </is>
      </c>
      <c r="C31" s="11" t="n"/>
      <c r="D31" s="11" t="n"/>
      <c r="E31" s="11" t="n"/>
      <c r="F31" s="11" t="n"/>
    </row>
    <row r="32">
      <c r="A32" s="47">
        <f>HYPERLINK("#'ExpressionFunctions'!A1","ExpressionFunctions")</f>
        <v/>
      </c>
      <c r="B32" s="45" t="inlineStr">
        <is>
          <t>Qlik functions used in master measures, variables and chart measures, per app.</t>
        </is>
      </c>
    </row>
    <row r="33">
      <c r="A33" s="48">
        <f>HYPERLINK("#'Media'!A1","Media")</f>
        <v/>
      </c>
      <c r="B33" s="49" t="inlineStr">
        <is>
          <t>Images bundled in the apps.</t>
        </is>
      </c>
      <c r="C33" s="11" t="n"/>
      <c r="D33" s="11" t="n"/>
      <c r="E33" s="11" t="n"/>
      <c r="F33" s="11" t="n"/>
    </row>
    <row r="34">
      <c r="A34" s="47">
        <f>HYPERLINK("#'StoredObjects'!A1","StoredObjects")</f>
        <v/>
      </c>
      <c r="B34" s="45" t="inlineStr">
        <is>
          <t>Every entry inside every .qvf container.</t>
        </is>
      </c>
    </row>
    <row r="35">
      <c r="A35" s="48">
        <f>HYPERLINK("#'Warnings'!A1","Warnings")</f>
        <v/>
      </c>
      <c r="B35" s="49" t="inlineStr">
        <is>
          <t>Apps that could not be parsed and anything the parser could not decode. Read this one.</t>
        </is>
      </c>
      <c r="C35" s="11" t="n"/>
      <c r="D35" s="11" t="n"/>
      <c r="E35" s="11" t="n"/>
      <c r="F35" s="11" t="n"/>
    </row>
    <row r="36">
      <c r="A36" s="47">
        <f>HYPERLINK("#'Information'!A1","Information")</f>
        <v/>
      </c>
      <c r="B36" s="45" t="inlineStr">
        <is>
          <t>How to read this workbook.</t>
        </is>
      </c>
    </row>
    <row r="37">
      <c r="A37" s="48">
        <f>HYPERLINK("#'Totals'!A1","Totals")</f>
        <v/>
      </c>
      <c r="B37" s="49" t="inlineStr">
        <is>
          <t>The single source of truth for the Discovery sheet: portfolio totals and the effort weights.</t>
        </is>
      </c>
      <c r="C37" s="11" t="n"/>
      <c r="D37" s="11" t="n"/>
      <c r="E37" s="11" t="n"/>
      <c r="F37" s="11" t="n"/>
    </row>
    <row r="39">
      <c r="A39" s="44" t="inlineStr">
        <is>
          <t>What was scanned</t>
        </is>
      </c>
    </row>
    <row r="40">
      <c r="A40" s="46" t="inlineStr">
        <is>
          <t>Property</t>
        </is>
      </c>
      <c r="B40" s="46" t="inlineStr">
        <is>
          <t>Value</t>
        </is>
      </c>
    </row>
    <row r="41">
      <c r="A41" s="50" t="inlineStr">
        <is>
          <t>Input folder</t>
        </is>
      </c>
      <c r="B41" s="45" t="inlineStr">
        <is>
          <t>/home/joginder-singh/workspace/qliksense_to_powerbi_premigration/sample_files</t>
        </is>
      </c>
    </row>
    <row r="42">
      <c r="A42" s="51" t="inlineStr">
        <is>
          <t>Sub-folders included</t>
        </is>
      </c>
      <c r="B42" s="49" t="inlineStr">
        <is>
          <t>No</t>
        </is>
      </c>
      <c r="C42" s="11" t="n"/>
      <c r="D42" s="11" t="n"/>
      <c r="E42" s="11" t="n"/>
      <c r="F42" s="11" t="n"/>
    </row>
    <row r="43">
      <c r="A43" s="50" t="inlineStr">
        <is>
          <t>Output folder</t>
        </is>
      </c>
      <c r="B43" s="45" t="inlineStr">
        <is>
          <t>/home/joginder-singh/workspace/qliksense_to_powerbi_premigration/output</t>
        </is>
      </c>
    </row>
    <row r="44">
      <c r="A44" s="51" t="inlineStr">
        <is>
          <t>Qlik files found</t>
        </is>
      </c>
      <c r="B44" s="49" t="inlineStr">
        <is>
          <t>8</t>
        </is>
      </c>
      <c r="C44" s="11" t="n"/>
      <c r="D44" s="11" t="n"/>
      <c r="E44" s="11" t="n"/>
      <c r="F44" s="11" t="n"/>
    </row>
    <row r="45">
      <c r="A45" s="50" t="inlineStr">
        <is>
          <t>Parsed / failed</t>
        </is>
      </c>
      <c r="B45" s="45" t="inlineStr">
        <is>
          <t>8 / 0</t>
        </is>
      </c>
    </row>
    <row r="46">
      <c r="A46" s="51" t="inlineStr">
        <is>
          <t>Parsed output</t>
        </is>
      </c>
      <c r="B46" s="49" t="inlineStr">
        <is>
          <t>One "&lt;app&gt;_parsed" folder per app in the output folder (report.json, script.qvs, measures.json, data/*.csv, …)</t>
        </is>
      </c>
      <c r="C46" s="11" t="n"/>
      <c r="D46" s="11" t="n"/>
      <c r="E46" s="11" t="n"/>
      <c r="F46" s="11" t="n"/>
    </row>
    <row r="47">
      <c r="A47" s="50" t="inlineStr">
        <is>
          <t>Discovery generated</t>
        </is>
      </c>
      <c r="B47" s="45" t="inlineStr">
        <is>
          <t>2026-10-08 21:41</t>
        </is>
      </c>
    </row>
    <row r="49">
      <c r="A49" s="44" t="inlineStr">
        <is>
          <t>Limits of this discovery</t>
        </is>
      </c>
    </row>
    <row r="50" ht="30" customHeight="1">
      <c r="A50" s="45" t="inlineStr">
        <is>
          <t>•  Data sources come from pattern matching on the load scripts, not from running them. Paths built from variables show as "Variable path" with the raw $(…) text; $(Include=…) files are not followed.</t>
        </is>
      </c>
    </row>
    <row r="51" ht="30" customHeight="1">
      <c r="A51" s="45" t="inlineStr">
        <is>
          <t>•  "Unused master measures" counts only direct library references (qLibraryId). A measure used only inside another expression, a variable or a set expression is counted as unused.</t>
        </is>
      </c>
    </row>
    <row r="52" ht="30" customHeight="1">
      <c r="A52" s="45" t="inlineStr">
        <is>
          <t>•  QlikView documents saved as .qvf keep sheet objects in a binary format: you get their readable strings, expressions and fields, not typed chart properties.</t>
        </is>
      </c>
    </row>
    <row r="53" ht="30" customHeight="1">
      <c r="A53" s="45" t="inlineStr">
        <is>
          <t>•  Apps saved without data have no field values or rows (Apps → Data stored = No).</t>
        </is>
      </c>
    </row>
    <row r="54" ht="30" customHeight="1">
      <c r="A54" s="45" t="inlineStr">
        <is>
          <t>•  The complexity levels and effort scores are heuristics of this tool, not an industry standard.</t>
        </is>
      </c>
    </row>
  </sheetData>
  <mergeCells count="39">
    <mergeCell ref="A54:F54"/>
    <mergeCell ref="B47:F47"/>
    <mergeCell ref="B16:F16"/>
    <mergeCell ref="B25:F25"/>
    <mergeCell ref="B31:F31"/>
    <mergeCell ref="B46:F46"/>
    <mergeCell ref="A12:F12"/>
    <mergeCell ref="B22:F22"/>
    <mergeCell ref="A50:F50"/>
    <mergeCell ref="B18:F18"/>
    <mergeCell ref="B27:F27"/>
    <mergeCell ref="B21:F21"/>
    <mergeCell ref="B43:F43"/>
    <mergeCell ref="B42:F42"/>
    <mergeCell ref="B23:F23"/>
    <mergeCell ref="A53:F53"/>
    <mergeCell ref="B17:F17"/>
    <mergeCell ref="B44:F44"/>
    <mergeCell ref="B29:F29"/>
    <mergeCell ref="A52:F52"/>
    <mergeCell ref="B34:F34"/>
    <mergeCell ref="B28:F28"/>
    <mergeCell ref="A9:F9"/>
    <mergeCell ref="B19:F19"/>
    <mergeCell ref="B37:F37"/>
    <mergeCell ref="B40:F40"/>
    <mergeCell ref="B30:F30"/>
    <mergeCell ref="A51:F51"/>
    <mergeCell ref="C2:E3"/>
    <mergeCell ref="B24:F24"/>
    <mergeCell ref="B20:F20"/>
    <mergeCell ref="B15:F15"/>
    <mergeCell ref="B33:F33"/>
    <mergeCell ref="B45:F45"/>
    <mergeCell ref="B36:F36"/>
    <mergeCell ref="B32:F32"/>
    <mergeCell ref="B26:F26"/>
    <mergeCell ref="B41:F41"/>
    <mergeCell ref="B35:F35"/>
  </mergeCells>
  <pageMargins left="0.75" right="0.75" top="1" bottom="1" header="0.5" footer="0.5"/>
  <pageSetup orientation="landscape" fitToHeight="0" fitToWidth="1"/>
  <drawing xmlns:r="http://schemas.openxmlformats.org/officeDocument/2006/relationships" r:id="rId1"/>
</worksheet>
</file>

<file path=xl/worksheets/sheet22.xml><?xml version="1.0" encoding="utf-8"?>
<worksheet xmlns="http://schemas.openxmlformats.org/spreadsheetml/2006/main">
  <sheetPr>
    <tabColor rgb="001B3139"/>
    <outlinePr summaryBelow="1" summaryRight="1"/>
    <pageSetUpPr fitToPage="1"/>
  </sheetPr>
  <dimension ref="A2:E94"/>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62" customWidth="1" min="5" max="5"/>
    <col width="13" customWidth="1" min="6" max="6"/>
  </cols>
  <sheetData>
    <row r="1" ht="24" customHeight="1"/>
    <row r="2" ht="24" customHeight="1">
      <c r="B2" s="1" t="inlineStr">
        <is>
          <t>Totals  ·  the single source of truth</t>
        </is>
      </c>
    </row>
    <row r="3" ht="20" customHeight="1"/>
    <row r="4" ht="10" customHeight="1"/>
    <row r="5" ht="18" customHeight="1">
      <c r="A5" s="29">
        <f>HYPERLINK("#'Discovery'!A1","«  Back to Discovery")</f>
        <v/>
      </c>
      <c r="B5" s="30" t="inlineStr">
        <is>
          <t>The single source of truth for the Discovery sheet: portfolio totals and the effort weights.</t>
        </is>
      </c>
    </row>
    <row r="7" ht="22" customHeight="1">
      <c r="A7" s="44" t="inlineStr">
        <is>
          <t>Portfolio</t>
        </is>
      </c>
    </row>
    <row r="8">
      <c r="A8" s="6" t="inlineStr">
        <is>
          <t>Metric</t>
        </is>
      </c>
      <c r="B8" s="6" t="inlineStr">
        <is>
          <t>Value</t>
        </is>
      </c>
      <c r="C8" s="6" t="inlineStr">
        <is>
          <t>What it means</t>
        </is>
      </c>
      <c r="D8" s="7" t="n"/>
      <c r="E8" s="7" t="n"/>
    </row>
    <row r="9">
      <c r="A9" s="50" t="inlineStr">
        <is>
          <t>Apps discovered</t>
        </is>
      </c>
      <c r="B9" s="52">
        <f>COUNTA('Apps'!$A$7:$A$100000)</f>
        <v/>
      </c>
      <c r="C9" s="53" t="inlineStr">
        <is>
          <t>Qlik files found in the input folder</t>
        </is>
      </c>
    </row>
    <row r="10">
      <c r="A10" s="51" t="inlineStr">
        <is>
          <t>Apps parsed</t>
        </is>
      </c>
      <c r="B10" s="54">
        <f>COUNTIF('Apps'!$E$7:$E$100000,"Parsed")</f>
        <v/>
      </c>
      <c r="C10" s="55" t="inlineStr">
        <is>
          <t>Read successfully</t>
        </is>
      </c>
      <c r="D10" s="11" t="n"/>
      <c r="E10" s="11" t="n"/>
    </row>
    <row r="11">
      <c r="A11" s="50" t="inlineStr">
        <is>
          <t>Apps failed</t>
        </is>
      </c>
      <c r="B11" s="52">
        <f>COUNTIF('Apps'!$E$7:$E$100000,"Failed*")</f>
        <v/>
      </c>
      <c r="C11" s="53" t="inlineStr">
        <is>
          <t>See Warnings</t>
        </is>
      </c>
    </row>
    <row r="12">
      <c r="A12" s="51" t="inlineStr">
        <is>
          <t>Total size (MB)</t>
        </is>
      </c>
      <c r="B12" s="56">
        <f>SUM('Apps'!$D$7:$D$100000)</f>
        <v/>
      </c>
      <c r="C12" s="55" t="inlineStr">
        <is>
          <t>Size of all .qvf/.qvw files</t>
        </is>
      </c>
      <c r="D12" s="11" t="n"/>
      <c r="E12" s="11" t="n"/>
    </row>
    <row r="13">
      <c r="A13" s="50" t="inlineStr">
        <is>
          <t>High-complexity apps</t>
        </is>
      </c>
      <c r="B13" s="52">
        <f>COUNTIF('Apps'!$AE$7:$AE$100000,"High")</f>
        <v/>
      </c>
      <c r="C13" s="53" t="inlineStr">
        <is>
          <t>Effort score at or above the High threshold</t>
        </is>
      </c>
    </row>
    <row r="14">
      <c r="A14" s="51" t="inlineStr">
        <is>
          <t>Medium-complexity apps</t>
        </is>
      </c>
      <c r="B14" s="54">
        <f>COUNTIF('Apps'!$AE$7:$AE$100000,"Medium")</f>
        <v/>
      </c>
      <c r="C14" s="55" t="inlineStr"/>
      <c r="D14" s="11" t="n"/>
      <c r="E14" s="11" t="n"/>
    </row>
    <row r="15">
      <c r="A15" s="50" t="inlineStr">
        <is>
          <t>Low-complexity apps</t>
        </is>
      </c>
      <c r="B15" s="52">
        <f>COUNTIF('Apps'!$AE$7:$AE$100000,"Low")</f>
        <v/>
      </c>
      <c r="C15" s="53" t="inlineStr"/>
    </row>
    <row r="16">
      <c r="A16" s="51" t="inlineStr">
        <is>
          <t>Portfolio effort score</t>
        </is>
      </c>
      <c r="B16" s="54">
        <f>SUM('Apps'!$AD$7:$AD$100000)</f>
        <v/>
      </c>
      <c r="C16" s="55" t="inlineStr">
        <is>
          <t>Sum of the app effort scores</t>
        </is>
      </c>
      <c r="D16" s="11" t="n"/>
      <c r="E16" s="11" t="n"/>
    </row>
    <row r="18" ht="22" customHeight="1">
      <c r="A18" s="44" t="inlineStr">
        <is>
          <t>App surface</t>
        </is>
      </c>
    </row>
    <row r="19">
      <c r="A19" s="6" t="inlineStr">
        <is>
          <t>Metric</t>
        </is>
      </c>
      <c r="B19" s="6" t="inlineStr">
        <is>
          <t>Value</t>
        </is>
      </c>
      <c r="C19" s="6" t="inlineStr">
        <is>
          <t>What it means</t>
        </is>
      </c>
      <c r="D19" s="7" t="n"/>
      <c r="E19" s="7" t="n"/>
    </row>
    <row r="20">
      <c r="A20" s="50" t="inlineStr">
        <is>
          <t>Sheets</t>
        </is>
      </c>
      <c r="B20" s="52">
        <f>COUNTA('Sheets'!$C$7:$C$100000)</f>
        <v/>
      </c>
      <c r="C20" s="53" t="inlineStr">
        <is>
          <t>Qlik Sense sheets</t>
        </is>
      </c>
    </row>
    <row r="21">
      <c r="A21" s="51" t="inlineStr">
        <is>
          <t>Visualizations on sheets</t>
        </is>
      </c>
      <c r="B21" s="54">
        <f>COUNTA('Visualizations'!$D$7:$D$100000)</f>
        <v/>
      </c>
      <c r="C21" s="55" t="inlineStr">
        <is>
          <t>Includes objects inside containers and filter panes</t>
        </is>
      </c>
      <c r="D21" s="11" t="n"/>
      <c r="E21" s="11" t="n"/>
    </row>
    <row r="22">
      <c r="A22" s="50" t="inlineStr">
        <is>
          <t>Visualization types used</t>
        </is>
      </c>
      <c r="B22" s="52">
        <f>COUNTIF('Totals'!$D$60:$D$73,"&gt;0")</f>
        <v/>
      </c>
      <c r="C22" s="53" t="inlineStr">
        <is>
          <t>Distinct chart types, see Visualization types below</t>
        </is>
      </c>
    </row>
    <row r="23">
      <c r="A23" s="51" t="inlineStr">
        <is>
          <t>Visualizations linked to master items</t>
        </is>
      </c>
      <c r="B23" s="54">
        <f>COUNTIF('Visualizations'!$H$7:$H$100000,"?*")</f>
        <v/>
      </c>
      <c r="C23" s="55" t="inlineStr">
        <is>
          <t>Sheet objects that reuse a master visualization</t>
        </is>
      </c>
      <c r="D23" s="11" t="n"/>
      <c r="E23" s="11" t="n"/>
    </row>
    <row r="24">
      <c r="A24" s="50" t="inlineStr">
        <is>
          <t>Bookmarks</t>
        </is>
      </c>
      <c r="B24" s="52">
        <f>COUNTA('Bookmarks'!$B$7:$B$100000)</f>
        <v/>
      </c>
      <c r="C24" s="53" t="inlineStr">
        <is>
          <t>Saved selections</t>
        </is>
      </c>
    </row>
    <row r="25">
      <c r="A25" s="51" t="inlineStr">
        <is>
          <t>Stories</t>
        </is>
      </c>
      <c r="B25" s="54">
        <f>COUNTA('Stories'!$B$7:$B$100000)</f>
        <v/>
      </c>
      <c r="C25" s="55" t="inlineStr">
        <is>
          <t>Data storytelling</t>
        </is>
      </c>
      <c r="D25" s="11" t="n"/>
      <c r="E25" s="11" t="n"/>
    </row>
    <row r="26">
      <c r="A26" s="50" t="inlineStr">
        <is>
          <t>Media files</t>
        </is>
      </c>
      <c r="B26" s="52">
        <f>COUNTA('Media'!$B$7:$B$100000)</f>
        <v/>
      </c>
      <c r="C26" s="53" t="inlineStr">
        <is>
          <t>Images bundled in the apps</t>
        </is>
      </c>
    </row>
    <row r="28" ht="22" customHeight="1">
      <c r="A28" s="44" t="inlineStr">
        <is>
          <t>Master library</t>
        </is>
      </c>
    </row>
    <row r="29">
      <c r="A29" s="6" t="inlineStr">
        <is>
          <t>Metric</t>
        </is>
      </c>
      <c r="B29" s="6" t="inlineStr">
        <is>
          <t>Value</t>
        </is>
      </c>
      <c r="C29" s="6" t="inlineStr">
        <is>
          <t>What it means</t>
        </is>
      </c>
      <c r="D29" s="7" t="n"/>
      <c r="E29" s="7" t="n"/>
    </row>
    <row r="30">
      <c r="A30" s="50" t="inlineStr">
        <is>
          <t>Master measures</t>
        </is>
      </c>
      <c r="B30" s="52">
        <f>COUNTA('MasterMeasures'!$B$7:$B$100000)</f>
        <v/>
      </c>
      <c r="C30" s="53" t="inlineStr">
        <is>
          <t>Library measures</t>
        </is>
      </c>
    </row>
    <row r="31">
      <c r="A31" s="51" t="inlineStr">
        <is>
          <t>Measures with set analysis</t>
        </is>
      </c>
      <c r="B31" s="54">
        <f>COUNTIF('MasterMeasures'!$G$7:$G$100000,"Yes")</f>
        <v/>
      </c>
      <c r="C31" s="55" t="inlineStr">
        <is>
          <t>Need CALCULATE / filter logic in DAX</t>
        </is>
      </c>
      <c r="D31" s="11" t="n"/>
      <c r="E31" s="11" t="n"/>
    </row>
    <row r="32">
      <c r="A32" s="50" t="inlineStr">
        <is>
          <t>Measures with Aggr()</t>
        </is>
      </c>
      <c r="B32" s="52">
        <f>COUNTIF('MasterMeasures'!$H$7:$H$100000,"Yes")</f>
        <v/>
      </c>
      <c r="C32" s="53" t="inlineStr">
        <is>
          <t>Need SUMMARIZE / virtual tables in DAX</t>
        </is>
      </c>
    </row>
    <row r="33">
      <c r="A33" s="51" t="inlineStr">
        <is>
          <t>High-complexity measures</t>
        </is>
      </c>
      <c r="B33" s="54">
        <f>COUNTIF('MasterMeasures'!$K$7:$K$100000,"High")</f>
        <v/>
      </c>
      <c r="C33" s="55" t="inlineStr">
        <is>
          <t>See the Complexity column note on MasterMeasures</t>
        </is>
      </c>
      <c r="D33" s="11" t="n"/>
      <c r="E33" s="11" t="n"/>
    </row>
    <row r="34">
      <c r="A34" s="50" t="inlineStr">
        <is>
          <t>Unused master measures</t>
        </is>
      </c>
      <c r="B34" s="52">
        <f>COUNTIF('MasterMeasures'!$L$7:$L$100000,0)</f>
        <v/>
      </c>
      <c r="C34" s="53" t="inlineStr">
        <is>
          <t>Not referenced by any visualization (candidates to skip)</t>
        </is>
      </c>
    </row>
    <row r="35">
      <c r="A35" s="51" t="inlineStr">
        <is>
          <t>Master dimensions</t>
        </is>
      </c>
      <c r="B35" s="54">
        <f>COUNTA('MasterDimensions'!$B$7:$B$100000)</f>
        <v/>
      </c>
      <c r="C35" s="55" t="inlineStr">
        <is>
          <t>Library dimensions</t>
        </is>
      </c>
      <c r="D35" s="11" t="n"/>
      <c r="E35" s="11" t="n"/>
    </row>
    <row r="36">
      <c r="A36" s="50" t="inlineStr">
        <is>
          <t>Drill-down dimensions</t>
        </is>
      </c>
      <c r="B36" s="52">
        <f>COUNTIF('MasterDimensions'!$E$7:$E$100000,"Drill-down")</f>
        <v/>
      </c>
      <c r="C36" s="53" t="inlineStr">
        <is>
          <t>Become hierarchies in Power BI</t>
        </is>
      </c>
    </row>
    <row r="37">
      <c r="A37" s="51" t="inlineStr">
        <is>
          <t>Master visualizations</t>
        </is>
      </c>
      <c r="B37" s="54">
        <f>COUNTA('MasterVisualizations'!$B$7:$B$100000)</f>
        <v/>
      </c>
      <c r="C37" s="55" t="inlineStr">
        <is>
          <t>Reusable library charts</t>
        </is>
      </c>
      <c r="D37" s="11" t="n"/>
      <c r="E37" s="11" t="n"/>
    </row>
    <row r="38">
      <c r="A38" s="50" t="inlineStr">
        <is>
          <t>Variables</t>
        </is>
      </c>
      <c r="B38" s="52">
        <f>COUNTA('Variables'!$B$7:$B$100000)</f>
        <v/>
      </c>
      <c r="C38" s="53" t="inlineStr">
        <is>
          <t>Script and user variables</t>
        </is>
      </c>
    </row>
    <row r="39">
      <c r="A39" s="51" t="inlineStr">
        <is>
          <t>Expression variables</t>
        </is>
      </c>
      <c r="B39" s="54">
        <f>COUNTIF('Variables'!$F$7:$F$100000,"Yes")</f>
        <v/>
      </c>
      <c r="C39" s="55" t="inlineStr">
        <is>
          <t>Definition starts with "=": become measures</t>
        </is>
      </c>
      <c r="D39" s="11" t="n"/>
      <c r="E39" s="11" t="n"/>
    </row>
    <row r="41" ht="22" customHeight="1">
      <c r="A41" s="44" t="inlineStr">
        <is>
          <t>Load script and data</t>
        </is>
      </c>
    </row>
    <row r="42">
      <c r="A42" s="6" t="inlineStr">
        <is>
          <t>Metric</t>
        </is>
      </c>
      <c r="B42" s="6" t="inlineStr">
        <is>
          <t>Value</t>
        </is>
      </c>
      <c r="C42" s="6" t="inlineStr">
        <is>
          <t>What it means</t>
        </is>
      </c>
      <c r="D42" s="7" t="n"/>
      <c r="E42" s="7" t="n"/>
    </row>
    <row r="43">
      <c r="A43" s="50" t="inlineStr">
        <is>
          <t>Load script tabs</t>
        </is>
      </c>
      <c r="B43" s="52">
        <f>COUNTA('LoadScript'!$C$7:$C$100000)</f>
        <v/>
      </c>
      <c r="C43" s="53" t="inlineStr">
        <is>
          <t>Script sections</t>
        </is>
      </c>
    </row>
    <row r="44">
      <c r="A44" s="51" t="inlineStr">
        <is>
          <t>Load script lines</t>
        </is>
      </c>
      <c r="B44" s="54">
        <f>SUM('LoadScript'!$D$7:$D$100000)</f>
        <v/>
      </c>
      <c r="C44" s="55" t="inlineStr">
        <is>
          <t>Including comments</t>
        </is>
      </c>
      <c r="D44" s="11" t="n"/>
      <c r="E44" s="11" t="n"/>
    </row>
    <row r="45">
      <c r="A45" s="50" t="inlineStr">
        <is>
          <t>LOAD statements</t>
        </is>
      </c>
      <c r="B45" s="52">
        <f>SUM('LoadScript'!$E$7:$E$100000)</f>
        <v/>
      </c>
      <c r="C45" s="53" t="inlineStr">
        <is>
          <t>Become Power Query queries</t>
        </is>
      </c>
    </row>
    <row r="46">
      <c r="A46" s="51" t="inlineStr">
        <is>
          <t>Data sources referenced</t>
        </is>
      </c>
      <c r="B46" s="54">
        <f>COUNTA('DataSources'!$D$7:$D$100000)</f>
        <v/>
      </c>
      <c r="C46" s="55" t="inlineStr">
        <is>
          <t>CONNECT / SQL / FROM / RESIDENT / INLINE / STORE</t>
        </is>
      </c>
      <c r="D46" s="11" t="n"/>
      <c r="E46" s="11" t="n"/>
    </row>
    <row r="47">
      <c r="A47" s="50" t="inlineStr">
        <is>
          <t>Distinct external sources</t>
        </is>
      </c>
      <c r="B47" s="52">
        <f>SUM('DataSources'!$G$7:$G$100000)</f>
        <v/>
      </c>
      <c r="C47" s="53" t="inlineStr">
        <is>
          <t>Unique connections, files and tables across all apps (no RESIDENT or STORE)</t>
        </is>
      </c>
    </row>
    <row r="48">
      <c r="A48" s="51" t="inlineStr">
        <is>
          <t>Data tables stored</t>
        </is>
      </c>
      <c r="B48" s="54">
        <f>COUNTA('DataTables'!$B$7:$B$100000)</f>
        <v/>
      </c>
      <c r="C48" s="55" t="inlineStr">
        <is>
          <t>0 for apps saved without data</t>
        </is>
      </c>
      <c r="D48" s="11" t="n"/>
      <c r="E48" s="11" t="n"/>
    </row>
    <row r="49">
      <c r="A49" s="50" t="inlineStr">
        <is>
          <t>Data rows stored</t>
        </is>
      </c>
      <c r="B49" s="52">
        <f>SUM('DataTables'!$D$7:$D$100000)</f>
        <v/>
      </c>
      <c r="C49" s="53" t="inlineStr">
        <is>
          <t>Rows across all stored tables</t>
        </is>
      </c>
    </row>
    <row r="50">
      <c r="A50" s="51" t="inlineStr">
        <is>
          <t>Fields</t>
        </is>
      </c>
      <c r="B50" s="54">
        <f>COUNTA('Fields'!$B$7:$B$100000)</f>
        <v/>
      </c>
      <c r="C50" s="55" t="inlineStr">
        <is>
          <t>Fields in the data models</t>
        </is>
      </c>
      <c r="D50" s="11" t="n"/>
      <c r="E50" s="11" t="n"/>
    </row>
    <row r="51">
      <c r="A51" s="50" t="inlineStr">
        <is>
          <t>Legacy QlikView objects</t>
        </is>
      </c>
      <c r="B51" s="52">
        <f>COUNTA('LegacyObjects'!$B$7:$B$100000)</f>
        <v/>
      </c>
      <c r="C51" s="53" t="inlineStr">
        <is>
          <t>Charts, list boxes, … in QlikView documents</t>
        </is>
      </c>
    </row>
    <row r="53" ht="22" customHeight="1">
      <c r="A53" s="44" t="inlineStr">
        <is>
          <t>Discovery quality</t>
        </is>
      </c>
    </row>
    <row r="54">
      <c r="A54" s="6" t="inlineStr">
        <is>
          <t>Metric</t>
        </is>
      </c>
      <c r="B54" s="6" t="inlineStr">
        <is>
          <t>Value</t>
        </is>
      </c>
      <c r="C54" s="6" t="inlineStr">
        <is>
          <t>What it means</t>
        </is>
      </c>
      <c r="D54" s="7" t="n"/>
      <c r="E54" s="7" t="n"/>
    </row>
    <row r="55">
      <c r="A55" s="50" t="inlineStr">
        <is>
          <t>Stored objects</t>
        </is>
      </c>
      <c r="B55" s="52">
        <f>COUNTA('StoredObjects'!$B$7:$B$100000)</f>
        <v/>
      </c>
      <c r="C55" s="53" t="inlineStr">
        <is>
          <t>Every entry inside the .qvf files</t>
        </is>
      </c>
    </row>
    <row r="56">
      <c r="A56" s="51" t="inlineStr">
        <is>
          <t>Parser warnings</t>
        </is>
      </c>
      <c r="B56" s="54">
        <f>COUNTA('Warnings'!$C$7:$C$100000)</f>
        <v/>
      </c>
      <c r="C56" s="55" t="inlineStr">
        <is>
          <t>Includes apps that failed</t>
        </is>
      </c>
      <c r="D56" s="11" t="n"/>
      <c r="E56" s="11" t="n"/>
    </row>
    <row r="58" ht="22" customHeight="1">
      <c r="A58" s="44" t="inlineStr">
        <is>
          <t>Visualization types</t>
        </is>
      </c>
    </row>
    <row r="59">
      <c r="A59" s="6" t="inlineStr">
        <is>
          <t>Type</t>
        </is>
      </c>
      <c r="B59" s="6" t="inlineStr">
        <is>
          <t>On sheets</t>
        </is>
      </c>
      <c r="C59" s="6" t="inlineStr">
        <is>
          <t>Master visualizations</t>
        </is>
      </c>
      <c r="D59" s="6" t="inlineStr">
        <is>
          <t>Total</t>
        </is>
      </c>
    </row>
    <row r="60">
      <c r="A60" s="57" t="inlineStr">
        <is>
          <t>HelloWorld</t>
        </is>
      </c>
      <c r="B60" s="58">
        <f>COUNTIF('Visualizations'!$E$7:$E$100000,A60)</f>
        <v/>
      </c>
      <c r="C60" s="58">
        <f>COUNTIF('MasterVisualizations'!$D$7:$D$100000,A60)</f>
        <v/>
      </c>
      <c r="D60" s="52">
        <f>B60+C60</f>
        <v/>
      </c>
    </row>
    <row r="61">
      <c r="A61" s="59" t="inlineStr">
        <is>
          <t>barchart</t>
        </is>
      </c>
      <c r="B61" s="60">
        <f>COUNTIF('Visualizations'!$E$7:$E$100000,A61)</f>
        <v/>
      </c>
      <c r="C61" s="60">
        <f>COUNTIF('MasterVisualizations'!$D$7:$D$100000,A61)</f>
        <v/>
      </c>
      <c r="D61" s="54">
        <f>B61+C61</f>
        <v/>
      </c>
    </row>
    <row r="62">
      <c r="A62" s="57" t="inlineStr">
        <is>
          <t>combochart</t>
        </is>
      </c>
      <c r="B62" s="58">
        <f>COUNTIF('Visualizations'!$E$7:$E$100000,A62)</f>
        <v/>
      </c>
      <c r="C62" s="58">
        <f>COUNTIF('MasterVisualizations'!$D$7:$D$100000,A62)</f>
        <v/>
      </c>
      <c r="D62" s="52">
        <f>B62+C62</f>
        <v/>
      </c>
    </row>
    <row r="63">
      <c r="A63" s="59" t="inlineStr">
        <is>
          <t>filterpane</t>
        </is>
      </c>
      <c r="B63" s="60">
        <f>COUNTIF('Visualizations'!$E$7:$E$100000,A63)</f>
        <v/>
      </c>
      <c r="C63" s="60">
        <f>COUNTIF('MasterVisualizations'!$D$7:$D$100000,A63)</f>
        <v/>
      </c>
      <c r="D63" s="54">
        <f>B63+C63</f>
        <v/>
      </c>
    </row>
    <row r="64">
      <c r="A64" s="57" t="inlineStr">
        <is>
          <t>gauge</t>
        </is>
      </c>
      <c r="B64" s="58">
        <f>COUNTIF('Visualizations'!$E$7:$E$100000,A64)</f>
        <v/>
      </c>
      <c r="C64" s="58">
        <f>COUNTIF('MasterVisualizations'!$D$7:$D$100000,A64)</f>
        <v/>
      </c>
      <c r="D64" s="52">
        <f>B64+C64</f>
        <v/>
      </c>
    </row>
    <row r="65">
      <c r="A65" s="59" t="inlineStr">
        <is>
          <t>kpi</t>
        </is>
      </c>
      <c r="B65" s="60">
        <f>COUNTIF('Visualizations'!$E$7:$E$100000,A65)</f>
        <v/>
      </c>
      <c r="C65" s="60">
        <f>COUNTIF('MasterVisualizations'!$D$7:$D$100000,A65)</f>
        <v/>
      </c>
      <c r="D65" s="54">
        <f>B65+C65</f>
        <v/>
      </c>
    </row>
    <row r="66">
      <c r="A66" s="57" t="inlineStr">
        <is>
          <t>linechart</t>
        </is>
      </c>
      <c r="B66" s="58">
        <f>COUNTIF('Visualizations'!$E$7:$E$100000,A66)</f>
        <v/>
      </c>
      <c r="C66" s="58">
        <f>COUNTIF('MasterVisualizations'!$D$7:$D$100000,A66)</f>
        <v/>
      </c>
      <c r="D66" s="52">
        <f>B66+C66</f>
        <v/>
      </c>
    </row>
    <row r="67">
      <c r="A67" s="59" t="inlineStr">
        <is>
          <t>listbox</t>
        </is>
      </c>
      <c r="B67" s="60">
        <f>COUNTIF('Visualizations'!$E$7:$E$100000,A67)</f>
        <v/>
      </c>
      <c r="C67" s="60">
        <f>COUNTIF('MasterVisualizations'!$D$7:$D$100000,A67)</f>
        <v/>
      </c>
      <c r="D67" s="54">
        <f>B67+C67</f>
        <v/>
      </c>
    </row>
    <row r="68">
      <c r="A68" s="57" t="inlineStr">
        <is>
          <t>map</t>
        </is>
      </c>
      <c r="B68" s="58">
        <f>COUNTIF('Visualizations'!$E$7:$E$100000,A68)</f>
        <v/>
      </c>
      <c r="C68" s="58">
        <f>COUNTIF('MasterVisualizations'!$D$7:$D$100000,A68)</f>
        <v/>
      </c>
      <c r="D68" s="52">
        <f>B68+C68</f>
        <v/>
      </c>
    </row>
    <row r="69">
      <c r="A69" s="59" t="inlineStr">
        <is>
          <t>piechart</t>
        </is>
      </c>
      <c r="B69" s="60">
        <f>COUNTIF('Visualizations'!$E$7:$E$100000,A69)</f>
        <v/>
      </c>
      <c r="C69" s="60">
        <f>COUNTIF('MasterVisualizations'!$D$7:$D$100000,A69)</f>
        <v/>
      </c>
      <c r="D69" s="54">
        <f>B69+C69</f>
        <v/>
      </c>
    </row>
    <row r="70">
      <c r="A70" s="57" t="inlineStr">
        <is>
          <t>pivot-table</t>
        </is>
      </c>
      <c r="B70" s="58">
        <f>COUNTIF('Visualizations'!$E$7:$E$100000,A70)</f>
        <v/>
      </c>
      <c r="C70" s="58">
        <f>COUNTIF('MasterVisualizations'!$D$7:$D$100000,A70)</f>
        <v/>
      </c>
      <c r="D70" s="52">
        <f>B70+C70</f>
        <v/>
      </c>
    </row>
    <row r="71">
      <c r="A71" s="59" t="inlineStr">
        <is>
          <t>scatterplot</t>
        </is>
      </c>
      <c r="B71" s="60">
        <f>COUNTIF('Visualizations'!$E$7:$E$100000,A71)</f>
        <v/>
      </c>
      <c r="C71" s="60">
        <f>COUNTIF('MasterVisualizations'!$D$7:$D$100000,A71)</f>
        <v/>
      </c>
      <c r="D71" s="54">
        <f>B71+C71</f>
        <v/>
      </c>
    </row>
    <row r="72">
      <c r="A72" s="57" t="inlineStr">
        <is>
          <t>table</t>
        </is>
      </c>
      <c r="B72" s="58">
        <f>COUNTIF('Visualizations'!$E$7:$E$100000,A72)</f>
        <v/>
      </c>
      <c r="C72" s="58">
        <f>COUNTIF('MasterVisualizations'!$D$7:$D$100000,A72)</f>
        <v/>
      </c>
      <c r="D72" s="52">
        <f>B72+C72</f>
        <v/>
      </c>
    </row>
    <row r="73">
      <c r="A73" s="59" t="inlineStr">
        <is>
          <t>treemap</t>
        </is>
      </c>
      <c r="B73" s="60">
        <f>COUNTIF('Visualizations'!$E$7:$E$100000,A73)</f>
        <v/>
      </c>
      <c r="C73" s="60">
        <f>COUNTIF('MasterVisualizations'!$D$7:$D$100000,A73)</f>
        <v/>
      </c>
      <c r="D73" s="54">
        <f>B73+C73</f>
        <v/>
      </c>
    </row>
    <row r="75" ht="22" customHeight="1">
      <c r="A75" s="44" t="inlineStr">
        <is>
          <t>Migration effort weights (heuristic)</t>
        </is>
      </c>
    </row>
    <row r="76">
      <c r="A76" s="6" t="inlineStr">
        <is>
          <t>Driver</t>
        </is>
      </c>
      <c r="B76" s="6" t="inlineStr">
        <is>
          <t>Portfolio count</t>
        </is>
      </c>
      <c r="C76" s="6" t="inlineStr">
        <is>
          <t>Weight</t>
        </is>
      </c>
      <c r="D76" s="6" t="inlineStr">
        <is>
          <t>Points</t>
        </is>
      </c>
      <c r="E76" s="6" t="inlineStr">
        <is>
          <t>How to use</t>
        </is>
      </c>
    </row>
    <row r="77">
      <c r="A77" s="57" t="inlineStr">
        <is>
          <t>Sheets</t>
        </is>
      </c>
      <c r="B77" s="61">
        <f>'Totals'!$B$20</f>
        <v/>
      </c>
      <c r="C77" s="62" t="n">
        <v>3</v>
      </c>
      <c r="D77" s="63">
        <f>B77*C77</f>
        <v/>
      </c>
      <c r="E77" s="64" t="inlineStr">
        <is>
          <t>Blue cells on yellow are editable (defaults are this tool's assumptions, not an industry standard). Each app's effort score on Apps = Σ its counts × these weights; the rating uses the thresholds below.</t>
        </is>
      </c>
    </row>
    <row r="78">
      <c r="A78" s="59" t="inlineStr">
        <is>
          <t>Visualizations on sheets</t>
        </is>
      </c>
      <c r="B78" s="65">
        <f>'Totals'!$B$21</f>
        <v/>
      </c>
      <c r="C78" s="62" t="n">
        <v>1</v>
      </c>
      <c r="D78" s="66">
        <f>B78*C78</f>
        <v/>
      </c>
    </row>
    <row r="79">
      <c r="A79" s="57" t="inlineStr">
        <is>
          <t>Master measures</t>
        </is>
      </c>
      <c r="B79" s="61">
        <f>'Totals'!$B$30</f>
        <v/>
      </c>
      <c r="C79" s="62" t="n">
        <v>1</v>
      </c>
      <c r="D79" s="63">
        <f>B79*C79</f>
        <v/>
      </c>
    </row>
    <row r="80">
      <c r="A80" s="59" t="inlineStr">
        <is>
          <t>Measures with set analysis</t>
        </is>
      </c>
      <c r="B80" s="65">
        <f>'Totals'!$B$31</f>
        <v/>
      </c>
      <c r="C80" s="62" t="n">
        <v>2</v>
      </c>
      <c r="D80" s="66">
        <f>B80*C80</f>
        <v/>
      </c>
    </row>
    <row r="81">
      <c r="A81" s="57" t="inlineStr">
        <is>
          <t>Measures with Aggr()</t>
        </is>
      </c>
      <c r="B81" s="61">
        <f>'Totals'!$B$32</f>
        <v/>
      </c>
      <c r="C81" s="62" t="n">
        <v>3</v>
      </c>
      <c r="D81" s="63">
        <f>B81*C81</f>
        <v/>
      </c>
    </row>
    <row r="82">
      <c r="A82" s="59" t="inlineStr">
        <is>
          <t>Master dimensions</t>
        </is>
      </c>
      <c r="B82" s="65">
        <f>'Totals'!$B$35</f>
        <v/>
      </c>
      <c r="C82" s="62" t="n">
        <v>0.5</v>
      </c>
      <c r="D82" s="66">
        <f>B82*C82</f>
        <v/>
      </c>
    </row>
    <row r="83">
      <c r="A83" s="57" t="inlineStr">
        <is>
          <t>Drill-down dimensions</t>
        </is>
      </c>
      <c r="B83" s="61">
        <f>'Totals'!$B$36</f>
        <v/>
      </c>
      <c r="C83" s="62" t="n">
        <v>1</v>
      </c>
      <c r="D83" s="63">
        <f>B83*C83</f>
        <v/>
      </c>
    </row>
    <row r="84">
      <c r="A84" s="59" t="inlineStr">
        <is>
          <t>Master visualizations</t>
        </is>
      </c>
      <c r="B84" s="65">
        <f>'Totals'!$B$37</f>
        <v/>
      </c>
      <c r="C84" s="62" t="n">
        <v>1</v>
      </c>
      <c r="D84" s="66">
        <f>B84*C84</f>
        <v/>
      </c>
    </row>
    <row r="85">
      <c r="A85" s="57" t="inlineStr">
        <is>
          <t>Expression variables</t>
        </is>
      </c>
      <c r="B85" s="61">
        <f>'Totals'!$B$39</f>
        <v/>
      </c>
      <c r="C85" s="62" t="n">
        <v>1</v>
      </c>
      <c r="D85" s="63">
        <f>B85*C85</f>
        <v/>
      </c>
    </row>
    <row r="86">
      <c r="A86" s="59" t="inlineStr">
        <is>
          <t>Load script tabs</t>
        </is>
      </c>
      <c r="B86" s="65">
        <f>'Totals'!$B$43</f>
        <v/>
      </c>
      <c r="C86" s="62" t="n">
        <v>2</v>
      </c>
      <c r="D86" s="66">
        <f>B86*C86</f>
        <v/>
      </c>
    </row>
    <row r="87">
      <c r="A87" s="57" t="inlineStr">
        <is>
          <t>LOAD statements</t>
        </is>
      </c>
      <c r="B87" s="61">
        <f>'Totals'!$B$45</f>
        <v/>
      </c>
      <c r="C87" s="62" t="n">
        <v>1</v>
      </c>
      <c r="D87" s="63">
        <f>B87*C87</f>
        <v/>
      </c>
    </row>
    <row r="88">
      <c r="A88" s="59" t="inlineStr">
        <is>
          <t>Distinct external sources</t>
        </is>
      </c>
      <c r="B88" s="65">
        <f>'Totals'!$B$47</f>
        <v/>
      </c>
      <c r="C88" s="62" t="n">
        <v>3</v>
      </c>
      <c r="D88" s="66">
        <f>B88*C88</f>
        <v/>
      </c>
    </row>
    <row r="89">
      <c r="A89" s="57" t="inlineStr">
        <is>
          <t>Legacy QlikView objects</t>
        </is>
      </c>
      <c r="B89" s="61">
        <f>'Totals'!$B$51</f>
        <v/>
      </c>
      <c r="C89" s="62" t="n">
        <v>2</v>
      </c>
      <c r="D89" s="63">
        <f>B89*C89</f>
        <v/>
      </c>
    </row>
    <row r="90">
      <c r="A90" s="59" t="inlineStr">
        <is>
          <t>Bookmarks</t>
        </is>
      </c>
      <c r="B90" s="65">
        <f>'Totals'!$B$24</f>
        <v/>
      </c>
      <c r="C90" s="62" t="n">
        <v>0.5</v>
      </c>
      <c r="D90" s="66">
        <f>B90*C90</f>
        <v/>
      </c>
    </row>
    <row r="91">
      <c r="A91" s="57" t="inlineStr">
        <is>
          <t>Stories</t>
        </is>
      </c>
      <c r="B91" s="61">
        <f>'Totals'!$B$25</f>
        <v/>
      </c>
      <c r="C91" s="62" t="n">
        <v>2</v>
      </c>
      <c r="D91" s="63">
        <f>B91*C91</f>
        <v/>
      </c>
    </row>
    <row r="92">
      <c r="A92" s="67" t="inlineStr">
        <is>
          <t>Portfolio points</t>
        </is>
      </c>
      <c r="B92" s="68" t="n"/>
      <c r="C92" s="68" t="n"/>
      <c r="D92" s="69">
        <f>SUM(D77:D91)</f>
        <v/>
      </c>
    </row>
    <row r="93">
      <c r="A93" s="57" t="inlineStr">
        <is>
          <t>Medium from app score</t>
        </is>
      </c>
      <c r="C93" s="70" t="n">
        <v>100</v>
      </c>
    </row>
    <row r="94">
      <c r="A94" s="57" t="inlineStr">
        <is>
          <t>High from app score</t>
        </is>
      </c>
      <c r="C94" s="70" t="n">
        <v>400</v>
      </c>
    </row>
  </sheetData>
  <mergeCells count="43">
    <mergeCell ref="C16:E16"/>
    <mergeCell ref="C54:E54"/>
    <mergeCell ref="C50:E50"/>
    <mergeCell ref="C44:E44"/>
    <mergeCell ref="C55:E55"/>
    <mergeCell ref="C31:E31"/>
    <mergeCell ref="C47:E47"/>
    <mergeCell ref="C22:E22"/>
    <mergeCell ref="C9:E9"/>
    <mergeCell ref="C56:E56"/>
    <mergeCell ref="C21:E21"/>
    <mergeCell ref="C43:E43"/>
    <mergeCell ref="C12:E12"/>
    <mergeCell ref="C51:E51"/>
    <mergeCell ref="C46:E46"/>
    <mergeCell ref="C36:E36"/>
    <mergeCell ref="C11:E11"/>
    <mergeCell ref="C23:E23"/>
    <mergeCell ref="C39:E39"/>
    <mergeCell ref="C8:E8"/>
    <mergeCell ref="C48:E48"/>
    <mergeCell ref="C32:E32"/>
    <mergeCell ref="C38:E38"/>
    <mergeCell ref="B2:D3"/>
    <mergeCell ref="C13:E13"/>
    <mergeCell ref="C19:E19"/>
    <mergeCell ref="C37:E37"/>
    <mergeCell ref="E77:E80"/>
    <mergeCell ref="C49:E49"/>
    <mergeCell ref="C30:E30"/>
    <mergeCell ref="C34:E34"/>
    <mergeCell ref="C15:E15"/>
    <mergeCell ref="C24:E24"/>
    <mergeCell ref="C42:E42"/>
    <mergeCell ref="C33:E33"/>
    <mergeCell ref="C14:E14"/>
    <mergeCell ref="C45:E45"/>
    <mergeCell ref="C26:E26"/>
    <mergeCell ref="C29:E29"/>
    <mergeCell ref="C20:E20"/>
    <mergeCell ref="C35:E35"/>
    <mergeCell ref="C25:E25"/>
    <mergeCell ref="C10:E10"/>
  </mergeCells>
  <pageMargins left="0.75" right="0.75" top="1" bottom="1" header="0.5" footer="0.5"/>
  <pageSetup orientation="landscape" fitToHeight="0" fitToWidth="1"/>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Type</t>
        </is>
      </c>
      <c r="B1" t="inlineStr">
        <is>
          <t>Visualizations</t>
        </is>
      </c>
    </row>
    <row r="2">
      <c r="A2">
        <f>'Totals'!A60</f>
        <v/>
      </c>
      <c r="B2">
        <f>'Totals'!D60</f>
        <v/>
      </c>
    </row>
    <row r="3">
      <c r="A3">
        <f>'Totals'!A61</f>
        <v/>
      </c>
      <c r="B3">
        <f>'Totals'!D61</f>
        <v/>
      </c>
    </row>
    <row r="4">
      <c r="A4">
        <f>'Totals'!A62</f>
        <v/>
      </c>
      <c r="B4">
        <f>'Totals'!D62</f>
        <v/>
      </c>
    </row>
    <row r="5">
      <c r="A5">
        <f>'Totals'!A63</f>
        <v/>
      </c>
      <c r="B5">
        <f>'Totals'!D63</f>
        <v/>
      </c>
    </row>
    <row r="6">
      <c r="A6">
        <f>'Totals'!A64</f>
        <v/>
      </c>
      <c r="B6">
        <f>'Totals'!D64</f>
        <v/>
      </c>
    </row>
    <row r="7">
      <c r="A7">
        <f>'Totals'!A65</f>
        <v/>
      </c>
      <c r="B7">
        <f>'Totals'!D65</f>
        <v/>
      </c>
    </row>
    <row r="8">
      <c r="A8">
        <f>'Totals'!A66</f>
        <v/>
      </c>
      <c r="B8">
        <f>'Totals'!D66</f>
        <v/>
      </c>
    </row>
    <row r="9">
      <c r="A9">
        <f>'Totals'!A67</f>
        <v/>
      </c>
      <c r="B9">
        <f>'Totals'!D67</f>
        <v/>
      </c>
    </row>
    <row r="10">
      <c r="A10">
        <f>'Totals'!A68</f>
        <v/>
      </c>
      <c r="B10">
        <f>'Totals'!D68</f>
        <v/>
      </c>
    </row>
    <row r="11">
      <c r="A11">
        <f>'Totals'!A69</f>
        <v/>
      </c>
      <c r="B11">
        <f>'Totals'!D69</f>
        <v/>
      </c>
    </row>
    <row r="12">
      <c r="A12">
        <f>'Totals'!A70</f>
        <v/>
      </c>
      <c r="B12">
        <f>'Totals'!D70</f>
        <v/>
      </c>
    </row>
    <row r="13">
      <c r="A13">
        <f>'Totals'!A71</f>
        <v/>
      </c>
      <c r="B13">
        <f>'Totals'!D71</f>
        <v/>
      </c>
    </row>
    <row r="14">
      <c r="A14">
        <f>'Totals'!A72</f>
        <v/>
      </c>
      <c r="B14">
        <f>'Totals'!D72</f>
        <v/>
      </c>
    </row>
    <row r="15">
      <c r="A15">
        <f>'Totals'!A73</f>
        <v/>
      </c>
      <c r="B15">
        <f>'Totals'!D73</f>
        <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Complexity</t>
        </is>
      </c>
      <c r="B1" t="inlineStr">
        <is>
          <t>Apps</t>
        </is>
      </c>
    </row>
    <row r="2">
      <c r="A2" t="inlineStr">
        <is>
          <t>Low</t>
        </is>
      </c>
      <c r="B2">
        <f>'Totals'!$B$15</f>
        <v/>
      </c>
    </row>
    <row r="3">
      <c r="A3" t="inlineStr">
        <is>
          <t>Medium</t>
        </is>
      </c>
      <c r="B3">
        <f>'Totals'!$B$14</f>
        <v/>
      </c>
    </row>
    <row r="4">
      <c r="A4" t="inlineStr">
        <is>
          <t>High</t>
        </is>
      </c>
      <c r="B4">
        <f>'Totals'!$B$13</f>
        <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App</t>
        </is>
      </c>
      <c r="B1" t="inlineStr">
        <is>
          <t>Effort score</t>
        </is>
      </c>
    </row>
    <row r="2">
      <c r="A2">
        <f>'Apps'!A7</f>
        <v/>
      </c>
      <c r="B2">
        <f>'Apps'!AD7</f>
        <v/>
      </c>
    </row>
    <row r="3">
      <c r="A3">
        <f>'Apps'!A9</f>
        <v/>
      </c>
      <c r="B3">
        <f>'Apps'!AD9</f>
        <v/>
      </c>
    </row>
    <row r="4">
      <c r="A4">
        <f>'Apps'!A13</f>
        <v/>
      </c>
      <c r="B4">
        <f>'Apps'!AD13</f>
        <v/>
      </c>
    </row>
    <row r="5">
      <c r="A5">
        <f>'Apps'!A10</f>
        <v/>
      </c>
      <c r="B5">
        <f>'Apps'!AD10</f>
        <v/>
      </c>
    </row>
    <row r="6">
      <c r="A6">
        <f>'Apps'!A12</f>
        <v/>
      </c>
      <c r="B6">
        <f>'Apps'!AD12</f>
        <v/>
      </c>
    </row>
    <row r="7">
      <c r="A7">
        <f>'Apps'!A8</f>
        <v/>
      </c>
      <c r="B7">
        <f>'Apps'!AD8</f>
        <v/>
      </c>
    </row>
    <row r="8">
      <c r="A8">
        <f>'Apps'!A11</f>
        <v/>
      </c>
      <c r="B8">
        <f>'Apps'!AD11</f>
        <v/>
      </c>
    </row>
    <row r="9">
      <c r="A9">
        <f>'Apps'!A14</f>
        <v/>
      </c>
      <c r="B9">
        <f>'Apps'!AD14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2026-10-08T16:11:22Z</dcterms:created>
  <dcterms:modified xsi:type="dcterms:W3CDTF">2026-10-08T16:11:22Z</dcterms:modified>
</cp:coreProperties>
</file>